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30EA8E8E-3632-481D-9C5A-26E339BC4C53}" xr6:coauthVersionLast="47" xr6:coauthVersionMax="47" xr10:uidLastSave="{00000000-0000-0000-0000-000000000000}"/>
  <bookViews>
    <workbookView xWindow="28680" yWindow="-120" windowWidth="29040" windowHeight="15720" firstSheet="1" activeTab="12" xr2:uid="{042D859E-B654-444C-B5FD-8E5A0AF2AC71}"/>
  </bookViews>
  <sheets>
    <sheet name="Year 2026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G11" i="1"/>
  <c r="H11" i="1"/>
  <c r="I11" i="1"/>
  <c r="J11" i="1"/>
  <c r="K11" i="1"/>
  <c r="L11" i="1"/>
  <c r="M11" i="1"/>
  <c r="N11" i="1"/>
  <c r="O11" i="1"/>
  <c r="F9" i="1" l="1"/>
  <c r="G9" i="1"/>
  <c r="H9" i="1"/>
  <c r="I9" i="1"/>
  <c r="J9" i="1"/>
  <c r="K9" i="1"/>
  <c r="L9" i="1"/>
  <c r="M9" i="1"/>
  <c r="N9" i="1"/>
  <c r="O9" i="1"/>
  <c r="O8" i="1"/>
  <c r="N8" i="1"/>
  <c r="M8" i="1"/>
  <c r="L8" i="1"/>
  <c r="K8" i="1"/>
  <c r="J8" i="1"/>
  <c r="I8" i="1"/>
  <c r="H8" i="1"/>
  <c r="G8" i="1"/>
  <c r="F8" i="1"/>
  <c r="O10" i="1"/>
  <c r="N10" i="1"/>
  <c r="M10" i="1"/>
  <c r="L10" i="1"/>
  <c r="K10" i="1"/>
  <c r="J10" i="1"/>
  <c r="I10" i="1"/>
  <c r="H10" i="1"/>
  <c r="G10" i="1"/>
  <c r="F34" i="13"/>
  <c r="E34" i="13"/>
  <c r="D34" i="13"/>
  <c r="C34" i="13"/>
  <c r="O7" i="1" s="1"/>
  <c r="F34" i="12"/>
  <c r="E34" i="12"/>
  <c r="D34" i="12"/>
  <c r="C34" i="12"/>
  <c r="N7" i="1" s="1"/>
  <c r="F34" i="11"/>
  <c r="E34" i="11"/>
  <c r="D34" i="11"/>
  <c r="C34" i="11"/>
  <c r="M7" i="1" s="1"/>
  <c r="F34" i="10"/>
  <c r="E34" i="10"/>
  <c r="D34" i="10"/>
  <c r="C34" i="10"/>
  <c r="L7" i="1" s="1"/>
  <c r="F34" i="9"/>
  <c r="E34" i="9"/>
  <c r="D34" i="9"/>
  <c r="C34" i="9"/>
  <c r="K7" i="1" s="1"/>
  <c r="F34" i="8"/>
  <c r="E34" i="8"/>
  <c r="D34" i="8"/>
  <c r="C34" i="8"/>
  <c r="J7" i="1" s="1"/>
  <c r="F34" i="7"/>
  <c r="E34" i="7"/>
  <c r="D34" i="7"/>
  <c r="C34" i="7"/>
  <c r="I7" i="1" s="1"/>
  <c r="F34" i="6"/>
  <c r="E34" i="6"/>
  <c r="D34" i="6"/>
  <c r="C34" i="6"/>
  <c r="H7" i="1" s="1"/>
  <c r="F34" i="5"/>
  <c r="E34" i="5"/>
  <c r="D34" i="5"/>
  <c r="C34" i="5"/>
  <c r="G7" i="1" s="1"/>
  <c r="H13" i="5"/>
  <c r="G17" i="1" s="1" a="1"/>
  <c r="G17" i="1" s="1"/>
  <c r="E34" i="4"/>
  <c r="D34" i="4"/>
  <c r="C34" i="4"/>
  <c r="F7" i="1" s="1"/>
  <c r="E34" i="3"/>
  <c r="E9" i="1" s="1"/>
  <c r="D34" i="3"/>
  <c r="E8" i="1" s="1"/>
  <c r="E34" i="2"/>
  <c r="D9" i="1" s="1"/>
  <c r="D34" i="2"/>
  <c r="D8" i="1" s="1"/>
  <c r="F18" i="1"/>
  <c r="F34" i="4"/>
  <c r="F10" i="1" s="1"/>
  <c r="F34" i="3"/>
  <c r="E10" i="1" s="1"/>
  <c r="F34" i="2"/>
  <c r="D10" i="1" s="1"/>
  <c r="L23" i="3"/>
  <c r="E15" i="1" s="1"/>
  <c r="L23" i="5"/>
  <c r="G15" i="1" s="1"/>
  <c r="L23" i="6"/>
  <c r="H15" i="1" s="1"/>
  <c r="L23" i="7"/>
  <c r="I15" i="1" s="1"/>
  <c r="L23" i="8"/>
  <c r="J15" i="1" s="1"/>
  <c r="L23" i="9"/>
  <c r="K15" i="1" s="1"/>
  <c r="L23" i="10"/>
  <c r="L15" i="1" s="1"/>
  <c r="L23" i="11"/>
  <c r="M15" i="1" s="1"/>
  <c r="L23" i="13"/>
  <c r="O15" i="1" s="1"/>
  <c r="L23" i="12"/>
  <c r="N15" i="1" s="1"/>
  <c r="I17" i="1" a="1"/>
  <c r="I17" i="1" s="1"/>
  <c r="L17" i="1" a="1"/>
  <c r="L17" i="1" s="1"/>
  <c r="O19" i="1"/>
  <c r="O20" i="1"/>
  <c r="O21" i="1"/>
  <c r="O22" i="1"/>
  <c r="N19" i="1"/>
  <c r="N20" i="1"/>
  <c r="N21" i="1"/>
  <c r="N22" i="1"/>
  <c r="M19" i="1"/>
  <c r="M20" i="1"/>
  <c r="M21" i="1"/>
  <c r="M22" i="1"/>
  <c r="L19" i="1"/>
  <c r="L20" i="1"/>
  <c r="L21" i="1"/>
  <c r="L22" i="1"/>
  <c r="K19" i="1"/>
  <c r="K20" i="1"/>
  <c r="K21" i="1"/>
  <c r="K22" i="1"/>
  <c r="J19" i="1"/>
  <c r="J20" i="1"/>
  <c r="J21" i="1"/>
  <c r="J22" i="1"/>
  <c r="I19" i="1"/>
  <c r="I20" i="1"/>
  <c r="I21" i="1"/>
  <c r="I22" i="1"/>
  <c r="H19" i="1"/>
  <c r="H20" i="1"/>
  <c r="H21" i="1"/>
  <c r="H22" i="1"/>
  <c r="G19" i="1"/>
  <c r="G20" i="1"/>
  <c r="G21" i="1"/>
  <c r="G22" i="1"/>
  <c r="O18" i="1"/>
  <c r="N18" i="1"/>
  <c r="M18" i="1"/>
  <c r="L18" i="1"/>
  <c r="K18" i="1"/>
  <c r="J18" i="1"/>
  <c r="I18" i="1"/>
  <c r="H18" i="1"/>
  <c r="G18" i="1"/>
  <c r="F19" i="1"/>
  <c r="F20" i="1"/>
  <c r="F21" i="1"/>
  <c r="F22" i="1"/>
  <c r="E22" i="1"/>
  <c r="E21" i="1"/>
  <c r="E20" i="1"/>
  <c r="E19" i="1"/>
  <c r="E18" i="1"/>
  <c r="O16" i="1"/>
  <c r="N16" i="1"/>
  <c r="M16" i="1"/>
  <c r="L16" i="1"/>
  <c r="K16" i="1"/>
  <c r="J16" i="1"/>
  <c r="I16" i="1"/>
  <c r="H16" i="1"/>
  <c r="G16" i="1"/>
  <c r="F16" i="1"/>
  <c r="E16" i="1"/>
  <c r="D16" i="1"/>
  <c r="L23" i="4"/>
  <c r="F15" i="1" s="1"/>
  <c r="L23" i="2"/>
  <c r="D15" i="1" s="1"/>
  <c r="D22" i="1"/>
  <c r="D21" i="1"/>
  <c r="D20" i="1"/>
  <c r="D19" i="1"/>
  <c r="D18" i="1"/>
  <c r="H13" i="13"/>
  <c r="O17" i="1" s="1" a="1"/>
  <c r="O17" i="1" s="1"/>
  <c r="H13" i="12"/>
  <c r="N17" i="1" s="1" a="1"/>
  <c r="N17" i="1" s="1"/>
  <c r="H13" i="11"/>
  <c r="M17" i="1" s="1" a="1"/>
  <c r="M17" i="1" s="1"/>
  <c r="H13" i="10"/>
  <c r="H13" i="9"/>
  <c r="K17" i="1" s="1" a="1"/>
  <c r="K17" i="1" s="1"/>
  <c r="H13" i="8"/>
  <c r="J17" i="1" s="1" a="1"/>
  <c r="J17" i="1" s="1"/>
  <c r="H13" i="7"/>
  <c r="H13" i="6"/>
  <c r="H17" i="1" s="1" a="1"/>
  <c r="H17" i="1" s="1"/>
  <c r="H13" i="4"/>
  <c r="F17" i="1" s="1" a="1"/>
  <c r="F17" i="1" s="1"/>
  <c r="C34" i="3"/>
  <c r="E7" i="1" s="1"/>
  <c r="H13" i="3"/>
  <c r="E17" i="1" s="1" a="1"/>
  <c r="E17" i="1" s="1"/>
  <c r="H13" i="2"/>
  <c r="D17" i="1" s="1" a="1"/>
  <c r="D17" i="1" s="1"/>
  <c r="C34" i="2"/>
  <c r="D7" i="1" s="1"/>
  <c r="C12" i="1"/>
  <c r="C26" i="1" s="1"/>
  <c r="D4" i="1" s="1"/>
  <c r="P8" i="1" l="1"/>
  <c r="E11" i="1"/>
  <c r="P9" i="1"/>
  <c r="D11" i="1"/>
  <c r="D12" i="1" s="1"/>
  <c r="P10" i="1"/>
  <c r="P16" i="1"/>
  <c r="N23" i="1"/>
  <c r="O23" i="1"/>
  <c r="L23" i="1"/>
  <c r="K23" i="1"/>
  <c r="H23" i="1"/>
  <c r="M23" i="1"/>
  <c r="P20" i="1"/>
  <c r="E23" i="1"/>
  <c r="P21" i="1"/>
  <c r="J23" i="1"/>
  <c r="G23" i="1"/>
  <c r="F23" i="1"/>
  <c r="P17" i="1"/>
  <c r="P18" i="1"/>
  <c r="P19" i="1"/>
  <c r="P22" i="1"/>
  <c r="I23" i="1"/>
  <c r="P15" i="1"/>
  <c r="P7" i="1"/>
  <c r="D23" i="1"/>
  <c r="P11" i="1" l="1"/>
  <c r="P23" i="1"/>
  <c r="D26" i="1"/>
  <c r="E4" i="1" s="1"/>
  <c r="E12" i="1" s="1"/>
  <c r="E26" i="1" s="1"/>
  <c r="F4" i="1" s="1"/>
  <c r="F12" i="1" s="1"/>
  <c r="F26" i="1" s="1"/>
  <c r="G4" i="1" s="1"/>
  <c r="G12" i="1" s="1"/>
  <c r="G26" i="1" s="1"/>
  <c r="H4" i="1" s="1"/>
  <c r="H12" i="1" s="1"/>
  <c r="H26" i="1" s="1"/>
  <c r="I4" i="1" s="1"/>
  <c r="I12" i="1" s="1"/>
  <c r="I26" i="1" s="1"/>
  <c r="J4" i="1" s="1"/>
  <c r="J12" i="1" s="1"/>
  <c r="J26" i="1" s="1"/>
  <c r="K4" i="1" s="1"/>
  <c r="K12" i="1" s="1"/>
  <c r="K26" i="1" s="1"/>
  <c r="L4" i="1" s="1"/>
  <c r="L12" i="1" s="1"/>
  <c r="L26" i="1" s="1"/>
  <c r="M4" i="1" s="1"/>
  <c r="M12" i="1" s="1"/>
  <c r="M26" i="1" s="1"/>
  <c r="N4" i="1" s="1"/>
  <c r="N12" i="1" s="1"/>
  <c r="N26" i="1" s="1"/>
  <c r="O4" i="1" s="1"/>
  <c r="O12" i="1" s="1"/>
  <c r="O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<sst xmlns="http://schemas.openxmlformats.org/spreadsheetml/2006/main" count="350" uniqueCount="74">
  <si>
    <t xml:space="preserve"> </t>
  </si>
  <si>
    <t>Total</t>
  </si>
  <si>
    <t>E-POS</t>
  </si>
  <si>
    <t>POS</t>
  </si>
  <si>
    <t>Initial Capital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</si>
  <si>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</si>
  <si>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</si>
  <si>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</si>
  <si>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</si>
  <si>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</si>
  <si>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</si>
  <si>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</si>
  <si>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</si>
  <si>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</si>
  <si>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</si>
  <si>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</si>
  <si>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</si>
  <si>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Revenue</t>
  </si>
  <si>
    <t>Company N Year 2026</t>
  </si>
  <si>
    <t>Cash Takings</t>
  </si>
  <si>
    <t xml:space="preserve">Refunds </t>
  </si>
  <si>
    <t xml:space="preserve">Invoices </t>
  </si>
  <si>
    <t xml:space="preserve">Rent </t>
  </si>
  <si>
    <t>Bills</t>
  </si>
  <si>
    <t xml:space="preserve">Social Insurance Contributions  </t>
  </si>
  <si>
    <t xml:space="preserve">Accountancy Fees </t>
  </si>
  <si>
    <t>VAT</t>
  </si>
  <si>
    <t>Taxes / Levies</t>
  </si>
  <si>
    <t>Other Expenses</t>
  </si>
  <si>
    <t>Electricity*</t>
  </si>
  <si>
    <t>Telephone*</t>
  </si>
  <si>
    <t>Social Insurance Contributions</t>
  </si>
  <si>
    <t>Bills*</t>
  </si>
  <si>
    <t>January</t>
  </si>
  <si>
    <t>Daily Cash Takings</t>
  </si>
  <si>
    <t>Refunds</t>
  </si>
  <si>
    <t xml:space="preserve">January Bills </t>
  </si>
  <si>
    <t>Amount</t>
  </si>
  <si>
    <t>Invoices</t>
  </si>
  <si>
    <t>February</t>
  </si>
  <si>
    <t xml:space="preserve">February Bills </t>
  </si>
  <si>
    <t>March</t>
  </si>
  <si>
    <t>March Bills</t>
  </si>
  <si>
    <t xml:space="preserve">Amount </t>
  </si>
  <si>
    <t>April</t>
  </si>
  <si>
    <t>April Bills</t>
  </si>
  <si>
    <t>May</t>
  </si>
  <si>
    <t>May Bills</t>
  </si>
  <si>
    <t>invoices</t>
  </si>
  <si>
    <t>June</t>
  </si>
  <si>
    <t>June Bills</t>
  </si>
  <si>
    <t>July</t>
  </si>
  <si>
    <t xml:space="preserve">July Bills </t>
  </si>
  <si>
    <t>August</t>
  </si>
  <si>
    <t>August Bills</t>
  </si>
  <si>
    <t>September Bills</t>
  </si>
  <si>
    <t>September</t>
  </si>
  <si>
    <t>October</t>
  </si>
  <si>
    <t>October Bills</t>
  </si>
  <si>
    <t>November</t>
  </si>
  <si>
    <t>November Bills</t>
  </si>
  <si>
    <t>December Bills</t>
  </si>
  <si>
    <t>December</t>
  </si>
  <si>
    <t>Opening Balance</t>
  </si>
  <si>
    <t>Net Revenue</t>
  </si>
  <si>
    <t>Funds Available Before Expenses</t>
  </si>
  <si>
    <t>Total Expenses</t>
  </si>
  <si>
    <t>Closing Balance</t>
  </si>
  <si>
    <t>Northstar Office Supplies Ltd</t>
  </si>
  <si>
    <t>Metro Equipment Services Ltd</t>
  </si>
  <si>
    <t>Greenfield Stock &amp; Supplies Ltd</t>
  </si>
  <si>
    <t>Oakbridge Business Supplies Ltd</t>
  </si>
  <si>
    <t>Expenses</t>
  </si>
  <si>
    <t>Accountancy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</si>
</sst>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bgColor theme="8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26">
    <xf numFmtId="0" fontId="0" fillId="0" borderId="0" xfId="0"/>
    <xf numFmtId="3" fontId="2" fillId="2" borderId="0" xfId="0" applyNumberFormat="1" applyFont="1" applyFill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5" borderId="0" xfId="2" applyAlignment="1">
      <alignment horizontal="center" vertical="center"/>
    </xf>
    <xf numFmtId="0" fontId="6" fillId="4" borderId="0" xfId="1" applyAlignment="1">
      <alignment horizontal="center" vertical="center"/>
    </xf>
    <xf numFmtId="0" fontId="6" fillId="4" borderId="0" xfId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35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lightUp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</font>
      <numFmt numFmtId="3" formatCode="#,##0"/>
      <fill>
        <patternFill patternType="lightUp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lightUp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sz val="10"/>
        <color auto="1"/>
      </font>
      <numFmt numFmtId="3" formatCode="#,##0"/>
      <fill>
        <patternFill patternType="lightUp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lightUp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</font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8" tint="0.599963377788628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Cash" pivot="0" count="4" xr9:uid="{9D1C983D-947E-4266-A3CC-65B799814B41}">
      <tableStyleElement type="wholeTable" dxfId="350"/>
      <tableStyleElement type="headerRow" dxfId="349"/>
      <tableStyleElement type="totalRow" dxfId="348"/>
      <tableStyleElement type="firstTotalCell" dxfId="3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E8FE64-1CD1-45FF-A864-4472DA2814BE}" name="Table5" displayName="Table5" ref="B3:P4" totalsRowShown="0" headerRowDxfId="323" dataDxfId="322">
  <autoFilter ref="B3:P4" xr:uid="{93E8FE64-1CD1-45FF-A864-4472DA2814BE}"/>
  <tableColumns count="15">
    <tableColumn id="1" xr3:uid="{D45FD9DF-2C07-4667-8E4B-60A223EA0152}" name="Company N Year 2026" dataDxfId="321"/>
    <tableColumn id="2" xr3:uid="{64E61D51-F054-496A-8421-EF78D943F74F}" name="Initial Capital" dataDxfId="320"/>
    <tableColumn id="3" xr3:uid="{A914B381-2612-4762-B704-70EDB359195F}" name="Jan-26" dataDxfId="319">
      <calculatedColumnFormula>C26</calculatedColumnFormula>
    </tableColumn>
    <tableColumn id="4" xr3:uid="{56167E47-3A6D-48F0-84C5-E40298FE2F46}" name="Feb-26" dataDxfId="318">
      <calculatedColumnFormula>D26</calculatedColumnFormula>
    </tableColumn>
    <tableColumn id="5" xr3:uid="{40C59D95-4F86-4595-8294-BDD30C8FCB68}" name="Mar-26" dataDxfId="317">
      <calculatedColumnFormula>E26</calculatedColumnFormula>
    </tableColumn>
    <tableColumn id="6" xr3:uid="{3100EF35-E96E-40A2-B01C-8161F3049F57}" name="Apr-26" dataDxfId="316">
      <calculatedColumnFormula>F26</calculatedColumnFormula>
    </tableColumn>
    <tableColumn id="7" xr3:uid="{77FA0207-AA76-40F3-954A-7E1E35377888}" name="May-26" dataDxfId="315">
      <calculatedColumnFormula>G26</calculatedColumnFormula>
    </tableColumn>
    <tableColumn id="8" xr3:uid="{E60B0E09-95C6-44AD-881D-8CB4FE8F3855}" name="Jun-26" dataDxfId="314">
      <calculatedColumnFormula>H26</calculatedColumnFormula>
    </tableColumn>
    <tableColumn id="9" xr3:uid="{1E5CC04C-CD18-40F7-A1AE-2E148EDBAD5B}" name="Jul-26" dataDxfId="313">
      <calculatedColumnFormula>I26</calculatedColumnFormula>
    </tableColumn>
    <tableColumn id="10" xr3:uid="{CCEBAFFD-D337-42DD-BF97-C38A3FEC7BD1}" name="Aug-26" dataDxfId="312">
      <calculatedColumnFormula>J26</calculatedColumnFormula>
    </tableColumn>
    <tableColumn id="11" xr3:uid="{9A0C0113-0CCF-4DE5-9D74-C4DF7B9C707E}" name="Sep-26" dataDxfId="311">
      <calculatedColumnFormula>K26</calculatedColumnFormula>
    </tableColumn>
    <tableColumn id="12" xr3:uid="{B2921D70-F289-4AA6-B29B-009144590353}" name="Oct-26" dataDxfId="310">
      <calculatedColumnFormula>L26</calculatedColumnFormula>
    </tableColumn>
    <tableColumn id="13" xr3:uid="{C34ABDBF-125E-4DCD-91F2-4ED4AC2F0575}" name="Nov-26" dataDxfId="309">
      <calculatedColumnFormula>M26</calculatedColumnFormula>
    </tableColumn>
    <tableColumn id="14" xr3:uid="{D0931CCA-60EE-4A95-B085-61510D86D810}" name="Dec-26" dataDxfId="308">
      <calculatedColumnFormula>N26</calculatedColumnFormula>
    </tableColumn>
    <tableColumn id="15" xr3:uid="{913E11A1-D39F-485A-A196-36CA24A83215}" name="Total" dataDxfId="307"/>
  </tableColumns>
  <tableStyleInfo name="Cash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57307E-8B74-4C81-866C-8ADC69E9A2FE}" name="Revenue" displayName="Revenue" ref="B6:P11" totalsRowCount="1" headerRowDxfId="306" dataDxfId="305" headerRowCellStyle="Good">
  <autoFilter ref="B6:P10" xr:uid="{5F57307E-8B74-4C81-866C-8ADC69E9A2FE}"/>
  <tableColumns count="15">
    <tableColumn id="1" xr3:uid="{669D3EA6-C700-4238-8932-A1190477CBC5}" name="Revenue" totalsRowLabel="Net Revenue" totalsRowDxfId="304"/>
    <tableColumn id="2" xr3:uid="{9907B342-9CD5-4239-B4D4-4719A03B06E9}" name=" " dataDxfId="303" totalsRowDxfId="302"/>
    <tableColumn id="3" xr3:uid="{500869F8-9201-4F47-B624-D5BB63613A90}" name="Jan-26" totalsRowFunction="custom" dataDxfId="301" totalsRowDxfId="300">
      <totalsRowFormula>SUM(D7:D9,(D10*-1))</totalsRowFormula>
    </tableColumn>
    <tableColumn id="4" xr3:uid="{6DF51440-F9F2-4C99-89B2-979D5F326CFD}" name="Feb-26" totalsRowFunction="custom" dataDxfId="299" totalsRowDxfId="298">
      <calculatedColumnFormula>February!C34</calculatedColumnFormula>
      <totalsRowFormula>SUM(E7:E9,(E10*-1))</totalsRowFormula>
    </tableColumn>
    <tableColumn id="5" xr3:uid="{0DC5630C-7DDE-47AB-B475-567CAEBA7915}" name="Mar-26" totalsRowFunction="custom" dataDxfId="297" totalsRowDxfId="296">
      <calculatedColumnFormula>March!#REF!</calculatedColumnFormula>
      <totalsRowFormula>SUM(F7:F9,(F10*-1))</totalsRowFormula>
    </tableColumn>
    <tableColumn id="6" xr3:uid="{0E6B9D1D-A50C-4AE5-92D3-D5D3CE2FFA92}" name="Apr-26" totalsRowFunction="custom" dataDxfId="295" totalsRowDxfId="294">
      <calculatedColumnFormula>April!F31</calculatedColumnFormula>
      <totalsRowFormula>SUM(G7:G9,(G10*-1))</totalsRowFormula>
    </tableColumn>
    <tableColumn id="7" xr3:uid="{7CC1A8A7-1175-4140-AF7E-A6660E544648}" name="May-26" totalsRowFunction="custom" dataDxfId="293" totalsRowDxfId="292">
      <calculatedColumnFormula>May!#REF!</calculatedColumnFormula>
      <totalsRowFormula>SUM(H7:H9,(H10*-1))</totalsRowFormula>
    </tableColumn>
    <tableColumn id="8" xr3:uid="{013AEDC2-6787-4130-8B97-4E9E41CA04D5}" name="Jun-26" totalsRowFunction="custom" dataDxfId="291" totalsRowDxfId="290">
      <calculatedColumnFormula>June!#REF!</calculatedColumnFormula>
      <totalsRowFormula>SUM(I7:I9,(I10*-1))</totalsRowFormula>
    </tableColumn>
    <tableColumn id="9" xr3:uid="{90B32414-DC18-4DDC-B5A8-AFB4B3D3E1DC}" name="Jul-26" totalsRowFunction="custom" dataDxfId="289" totalsRowDxfId="288">
      <calculatedColumnFormula>July!#REF!</calculatedColumnFormula>
      <totalsRowFormula>SUM(J7:J9,(J10*-1))</totalsRowFormula>
    </tableColumn>
    <tableColumn id="10" xr3:uid="{C22B313D-E967-454F-A254-CB305C0EF4DB}" name="Aug-26" totalsRowFunction="custom" dataDxfId="287" totalsRowDxfId="286">
      <calculatedColumnFormula>August!#REF!</calculatedColumnFormula>
      <totalsRowFormula>SUM(K7:K9,(K10*-1))</totalsRowFormula>
    </tableColumn>
    <tableColumn id="11" xr3:uid="{955365EB-66D9-455B-BDE4-BB6813B6F9BA}" name="Sep-26" totalsRowFunction="custom" dataDxfId="285" totalsRowDxfId="284">
      <calculatedColumnFormula>September!#REF!</calculatedColumnFormula>
      <totalsRowFormula>SUM(L7:L9,(L10*-1))</totalsRowFormula>
    </tableColumn>
    <tableColumn id="12" xr3:uid="{7EE1FAB5-86EC-42AF-93B3-5AA57FB045C3}" name="Oct-26" totalsRowFunction="custom" dataDxfId="283" totalsRowDxfId="282">
      <calculatedColumnFormula>October!#REF!</calculatedColumnFormula>
      <totalsRowFormula>SUM(M7:M9,(M10*-1))</totalsRowFormula>
    </tableColumn>
    <tableColumn id="13" xr3:uid="{B3609B72-CD4C-4F53-A0D5-DEC1AF74470C}" name="Nov-26" totalsRowFunction="custom" dataDxfId="281" totalsRowDxfId="280">
      <calculatedColumnFormula>November!#REF!</calculatedColumnFormula>
      <totalsRowFormula>SUM(N7:N9,(N10*-1))</totalsRowFormula>
    </tableColumn>
    <tableColumn id="14" xr3:uid="{83939B9C-EEFD-4854-AE9A-F9431F711CAA}" name="Dec-26" totalsRowFunction="custom" dataDxfId="279" totalsRowDxfId="278">
      <calculatedColumnFormula>December!#REF!</calculatedColumnFormula>
      <totalsRowFormula>SUM(O7:O9,(O10*-1))</totalsRowFormula>
    </tableColumn>
    <tableColumn id="15" xr3:uid="{750128FE-280D-4D60-973E-E076F4E9ED18}" name="Total" totalsRowFunction="custom" dataDxfId="277" totalsRowDxfId="276">
      <totalsRowFormula>SUM(Revenue[[#Totals],[Jan-26]:[Dec-26]])</totalsRowFormula>
    </tableColumn>
  </tableColumns>
  <tableStyleInfo name="Cash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70496EA-CEE5-40C2-9E3F-71CBCDDD3643}" name="Expenses" displayName="Expenses" ref="B14:P23" totalsRowCount="1" headerRowDxfId="275" dataDxfId="274" headerRowCellStyle="Bad">
  <autoFilter ref="B14:P22" xr:uid="{A70496EA-CEE5-40C2-9E3F-71CBCDDD3643}"/>
  <tableColumns count="15">
    <tableColumn id="1" xr3:uid="{E59116AE-0FAE-41D4-8C0A-81EFD76D6106}" name="Expenses" totalsRowLabel="Total Expenses" dataDxfId="273" totalsRowDxfId="272"/>
    <tableColumn id="2" xr3:uid="{053BDC66-4204-4F18-B031-1FCD9805257E}" name=" " dataDxfId="271" totalsRowDxfId="270"/>
    <tableColumn id="3" xr3:uid="{0B666B19-336B-4B71-A992-107AC6ABE5D3}" name="Jan-26" totalsRowFunction="custom" dataDxfId="269" totalsRowDxfId="268">
      <totalsRowFormula>SUM(Expenses[Jan-26])</totalsRowFormula>
    </tableColumn>
    <tableColumn id="4" xr3:uid="{ABE38EFA-E161-4E21-8D9E-7DA5EA973DF6}" name="Feb-26" totalsRowFunction="custom" dataDxfId="267" totalsRowDxfId="266">
      <totalsRowFormula>SUM(Expenses[Feb-26])</totalsRowFormula>
    </tableColumn>
    <tableColumn id="5" xr3:uid="{FFFD31E6-C525-431F-B342-33D1CF31ABAC}" name="Mar-26" totalsRowFunction="custom" dataDxfId="265" totalsRowDxfId="264">
      <totalsRowFormula>SUM(Expenses[Mar-26])</totalsRowFormula>
    </tableColumn>
    <tableColumn id="6" xr3:uid="{EB4B72CA-6B2B-40EE-91F9-D6C0B4140F95}" name="Apr-26" totalsRowFunction="custom" dataDxfId="263" totalsRowDxfId="262">
      <totalsRowFormula>SUM(Expenses[Apr-26])</totalsRowFormula>
    </tableColumn>
    <tableColumn id="7" xr3:uid="{0C69BCCB-7663-41B4-8E7E-448E7B25ECB5}" name="May-26" totalsRowFunction="custom" dataDxfId="261" totalsRowDxfId="260">
      <totalsRowFormula>SUM(Expenses[May-26])</totalsRowFormula>
    </tableColumn>
    <tableColumn id="8" xr3:uid="{F0484D84-0D11-437B-B219-1BCFA7A31AD6}" name="Jun-26" totalsRowFunction="custom" dataDxfId="259" totalsRowDxfId="258">
      <totalsRowFormula>SUM(Expenses[Jun-26])</totalsRowFormula>
    </tableColumn>
    <tableColumn id="9" xr3:uid="{CBF71919-A314-42A6-997E-656975400EB9}" name="Jul-26" totalsRowFunction="custom" dataDxfId="257" totalsRowDxfId="256">
      <totalsRowFormula>SUM(Expenses[Jul-26])</totalsRowFormula>
    </tableColumn>
    <tableColumn id="10" xr3:uid="{70F50DC8-F91B-49D1-BF1D-2C26704D29B7}" name="Aug-26" totalsRowFunction="custom" dataDxfId="255" totalsRowDxfId="254">
      <totalsRowFormula>SUM(Expenses[Aug-26])</totalsRowFormula>
    </tableColumn>
    <tableColumn id="11" xr3:uid="{55A1C4F4-0232-4261-9FDA-37BC4D7623C2}" name="Sep-26" totalsRowFunction="custom" dataDxfId="253" totalsRowDxfId="252">
      <totalsRowFormula>SUM(Expenses[Sep-26])</totalsRowFormula>
    </tableColumn>
    <tableColumn id="12" xr3:uid="{12269B14-CA84-4A5A-8E46-BF86D40439B3}" name="Oct-26" totalsRowFunction="custom" dataDxfId="251" totalsRowDxfId="250">
      <totalsRowFormula>SUM(Expenses[Oct-26])</totalsRowFormula>
    </tableColumn>
    <tableColumn id="13" xr3:uid="{ECC8ECF0-9067-4393-9E57-CA87EB43D8FD}" name="Nov-26" totalsRowFunction="custom" dataDxfId="249" totalsRowDxfId="248">
      <totalsRowFormula>SUM(Expenses[Nov-26])</totalsRowFormula>
    </tableColumn>
    <tableColumn id="14" xr3:uid="{FE6F812F-D075-4C94-9AAA-852A34514A4A}" name="Dec-26" totalsRowFunction="custom" dataDxfId="247" totalsRowDxfId="246">
      <totalsRowFormula>SUM(Expenses[Dec-26])</totalsRowFormula>
    </tableColumn>
    <tableColumn id="15" xr3:uid="{7D038007-9FDA-435F-8AAD-CB7BF8CE39A0}" name="Total" totalsRowFunction="custom" dataDxfId="245" totalsRowDxfId="244">
      <calculatedColumnFormula>SUM(Expenses[[#This Row],[Jan-26]:[Dec-26]])</calculatedColumnFormula>
      <totalsRowFormula>SUM(Expenses[[#Totals],[Jan-26]:[Dec-26]])</totalsRowFormula>
    </tableColumn>
  </tableColumns>
  <tableStyleInfo name="Cash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3C5F4-D747-46AE-A9F8-A8AF4C587EF0}" name="JanSales" displayName="JanSales" ref="B2:F34" totalsRowShown="0" headerRowDxfId="346" dataDxfId="345">
  <autoFilter ref="B2:F34" xr:uid="{BFC3C5F4-D747-46AE-A9F8-A8AF4C587EF0}"/>
  <tableColumns count="5">
    <tableColumn id="1" xr3:uid="{81BA49D3-C48A-4A60-9398-46663748FECE}" name="January" dataDxfId="344"/>
    <tableColumn id="2" xr3:uid="{1B01C6B7-408A-4FA9-B636-E4BFC8F99763}" name="Daily Cash Takings" dataDxfId="343"/>
    <tableColumn id="6" xr3:uid="{F0DCA550-AD23-4493-A60E-28CEFB7AFA83}" name="E-POS" dataDxfId="342"/>
    <tableColumn id="7" xr3:uid="{D15DD842-7F5E-410C-86AB-6FA76A82BFBE}" name="POS" dataDxfId="341"/>
    <tableColumn id="3" xr3:uid="{40FD6739-0CEC-433A-B7DC-79B66A961238}" name="Refunds" dataDxfId="340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CB1FC9A-6CA8-4020-BA96-6F0C018D0B8B}" name="JanBills" displayName="JanBills" ref="H2:I10" headerRowDxfId="339" dataDxfId="338" totalsRowDxfId="337">
  <tableColumns count="2">
    <tableColumn id="1" xr3:uid="{51AC6BD6-44F3-4D8F-ABEB-3F43647E857E}" name="January Bills " totalsRowLabel="Total" dataDxfId="336" totalsRowDxfId="335"/>
    <tableColumn id="2" xr3:uid="{372ECFA4-FCD9-418E-9E0E-E0D9FB3069D9}" name="Amount" dataDxfId="334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4CE24FC-886C-4C4E-BC42-A1A8E015B13F}" name="JanBillsTo" displayName="JanBillsTo" ref="H12:H13" totalsRowShown="0" headerRowDxfId="333" dataDxfId="332">
  <autoFilter ref="H12:H13" xr:uid="{74CE24FC-886C-4C4E-BC42-A1A8E015B13F}">
    <filterColumn colId="0" hiddenButton="1"/>
  </autoFilter>
  <tableColumns count="1">
    <tableColumn id="1" xr3:uid="{306EC856-135E-4669-B128-724985F1EB39}" name="Bills*" dataDxfId="331">
      <calculatedColumnFormula>SUM(I4:I5)</calculatedColumnFormula>
    </tableColumn>
  </tableColumns>
  <tableStyleInfo name="Cash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8061AAD-936E-4FF3-B4AC-CCA101B7BEC9}" name="JanInvoice" displayName="JanInvoice" ref="K2:L23" totalsRowCount="1" headerRowDxfId="330" dataDxfId="329" totalsRowDxfId="328">
  <autoFilter ref="K2:L22" xr:uid="{D8061AAD-936E-4FF3-B4AC-CCA101B7BEC9}"/>
  <tableColumns count="2">
    <tableColumn id="1" xr3:uid="{B058311F-BEB0-4292-92D3-0752CAC701CB}" name="Invoices" totalsRowLabel="Total" dataDxfId="327" totalsRowDxfId="326"/>
    <tableColumn id="2" xr3:uid="{AE539901-8774-4ED6-B691-858F5FDDE596}" name="Amount" totalsRowFunction="sum" dataDxfId="325" totalsRowDxfId="324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D4B39B9-B861-4A71-B5BC-454253093AEA}" name="FebSales" displayName="FebSales" ref="B2:F34" totalsRowShown="0" headerRowDxfId="243" dataDxfId="242">
  <autoFilter ref="B2:F34" xr:uid="{AD4B39B9-B861-4A71-B5BC-454253093AEA}"/>
  <tableColumns count="5">
    <tableColumn id="1" xr3:uid="{A05AAEB1-0BD0-4956-95AD-04940499EC4B}" name="February" dataDxfId="241"/>
    <tableColumn id="2" xr3:uid="{D8722839-625F-4217-B1C2-AC2DA9486D5F}" name="Daily Cash Takings" dataDxfId="240"/>
    <tableColumn id="5" xr3:uid="{AEC195ED-D2D0-40CC-83F5-4E42E9D9DF57}" name="E-POS" dataDxfId="239"/>
    <tableColumn id="6" xr3:uid="{35AD0EEA-7D08-446A-A05D-906C2E36B847}" name="POS" dataDxfId="238"/>
    <tableColumn id="3" xr3:uid="{2FB37C54-A70C-44A0-AB28-2FB4D23BE4F5}" name="Refunds" dataDxfId="237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3FC540C-4942-49B0-8B58-28838C0746C3}" name="FebBills" displayName="FebBills" ref="H2:I10" headerRowDxfId="236" dataDxfId="235" totalsRowDxfId="234">
  <tableColumns count="2">
    <tableColumn id="1" xr3:uid="{42426784-9515-4C6B-88D5-ADD8740CDBB2}" name="February Bills " totalsRowLabel="Total" dataDxfId="233"/>
    <tableColumn id="2" xr3:uid="{5FF7203D-51E3-41F3-A3A4-03C96309B3CC}" name="Amount" dataDxfId="232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D13EF12-880C-4632-B163-0A1D308593CF}" name="FebBillsTo" displayName="FebBillsTo" ref="H12:H13" totalsRowShown="0" headerRowDxfId="231" dataDxfId="230">
  <autoFilter ref="H12:H13" xr:uid="{BD13EF12-880C-4632-B163-0A1D308593CF}"/>
  <tableColumns count="1">
    <tableColumn id="1" xr3:uid="{E99AED5E-29F5-499F-9BB4-920D4363350B}" name="Bills*" dataDxfId="229">
      <calculatedColumnFormula>SUM(I4:I5)</calculatedColumnFormula>
    </tableColumn>
  </tableColumns>
  <tableStyleInfo name="Cash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12C1771-A4EC-4CF7-94BB-F6383FC75C01}" name="FebInvoice" displayName="FebInvoice" ref="K2:L23" totalsRowCount="1" headerRowDxfId="228" dataDxfId="227" totalsRowDxfId="226">
  <autoFilter ref="K2:L22" xr:uid="{412C1771-A4EC-4CF7-94BB-F6383FC75C01}"/>
  <tableColumns count="2">
    <tableColumn id="1" xr3:uid="{8B78B45A-BD65-4197-903D-E374BAF6D272}" name="Invoices" totalsRowLabel="Total" dataDxfId="225" totalsRowDxfId="224"/>
    <tableColumn id="2" xr3:uid="{F07B0444-4EC8-45EC-9FA9-AEE67EE2C4A3}" name="Amount" totalsRowFunction="sum" dataDxfId="223" totalsRowDxfId="222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8D7EFD4F-9D4B-43A9-B846-C0DC35F5BFAE}" name="MarSales" displayName="MarSales" ref="B2:F34" totalsRowShown="0" headerRowDxfId="221" dataDxfId="220">
  <autoFilter ref="B2:F34" xr:uid="{8D7EFD4F-9D4B-43A9-B846-C0DC35F5BFAE}"/>
  <tableColumns count="5">
    <tableColumn id="1" xr3:uid="{9EB9A888-6FB6-4BBD-98A0-C4DB829FABDD}" name="March" dataDxfId="219"/>
    <tableColumn id="3" xr3:uid="{46283E9B-9580-4C58-A200-851111D4C9E9}" name="Daily Cash Takings" dataDxfId="218"/>
    <tableColumn id="5" xr3:uid="{32FE39CA-C170-4A82-B2AC-FDE482CD5FBA}" name="E-POS" dataDxfId="217"/>
    <tableColumn id="6" xr3:uid="{73D0C4B9-1F01-4135-8E64-891FACDAE100}" name="POS" dataDxfId="216"/>
    <tableColumn id="4" xr3:uid="{379E4430-F890-46B9-940A-8EF92B9C9F8B}" name="Refunds" dataDxfId="215"/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2A00B37A-5EF2-4B9C-82C1-4ECA55E595F2}" name="MarBills" displayName="MarBills" ref="H2:I10" headerRowDxfId="214" dataDxfId="213" totalsRowDxfId="212">
  <tableColumns count="2">
    <tableColumn id="1" xr3:uid="{C53A6191-3BD1-4D3C-ACB5-A6583AC54041}" name="March Bills" totalsRowLabel="Total" dataDxfId="211" totalsRowDxfId="210"/>
    <tableColumn id="2" xr3:uid="{69EBA385-0891-4D1F-BB36-48885EB64999}" name="Amount " dataDxfId="209"/>
  </tableColumns>
  <tableStyleInfo name="TableStyleMedium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AB130350-FC65-4EA6-A9F0-7A71543C754D}" name="MarBillsTo" displayName="MarBillsTo" ref="H12:H13" totalsRowShown="0" headerRowDxfId="208" dataDxfId="207">
  <autoFilter ref="H12:H13" xr:uid="{AB130350-FC65-4EA6-A9F0-7A71543C754D}"/>
  <tableColumns count="1">
    <tableColumn id="1" xr3:uid="{2F07FD97-8E26-4B76-BC53-40751D0F10BF}" name="Bills*" dataDxfId="206">
      <calculatedColumnFormula>SUM(I4:I5)</calculatedColumnFormula>
    </tableColumn>
  </tableColumns>
  <tableStyleInfo name="Cash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DCE552A4-4279-4381-B137-4BC086FE3A65}" name="MarInvoice" displayName="MarInvoice" ref="K2:L23" totalsRowCount="1" headerRowDxfId="205" dataDxfId="204" totalsRowDxfId="203">
  <autoFilter ref="K2:L22" xr:uid="{DCE552A4-4279-4381-B137-4BC086FE3A65}"/>
  <tableColumns count="2">
    <tableColumn id="1" xr3:uid="{EE71E883-0ED5-4BE8-8610-54F4542278AA}" name="Invoices" totalsRowLabel="Total" dataDxfId="202" totalsRowDxfId="201"/>
    <tableColumn id="2" xr3:uid="{129368A7-C02F-45C9-ACFA-4A9222594564}" name="Amount" totalsRowFunction="sum" dataDxfId="200" totalsRowDxfId="199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B127EF53-169D-4D09-9171-56688353E3A8}" name="AprSales" displayName="AprSales" ref="B2:F34" totalsRowShown="0" headerRowDxfId="198" dataDxfId="197">
  <autoFilter ref="B2:F34" xr:uid="{B127EF53-169D-4D09-9171-56688353E3A8}"/>
  <tableColumns count="5">
    <tableColumn id="1" xr3:uid="{5B199D83-6245-4126-A968-6466B8896C69}" name="April" dataDxfId="196"/>
    <tableColumn id="4" xr3:uid="{0FBEA662-EEFA-4C47-9DB2-829E3CF7E2BE}" name="Daily Cash Takings" dataDxfId="195"/>
    <tableColumn id="5" xr3:uid="{317B4375-1F80-4481-A7E4-579AF90F5B38}" name="E-POS" dataDxfId="194"/>
    <tableColumn id="6" xr3:uid="{1B7E6D4E-2D0F-4491-AC86-92EFA265EB8E}" name="POS" dataDxfId="193"/>
    <tableColumn id="7" xr3:uid="{F458C0EF-6314-4CFF-916B-745F7C9BD8D4}" name="Refunds" dataDxfId="192"/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166C9811-1D8C-4992-9E1E-20D3600E43FC}" name="AprInvoice" displayName="AprInvoice" ref="K2:L23" totalsRowCount="1" headerRowDxfId="191">
  <autoFilter ref="K2:L22" xr:uid="{166C9811-1D8C-4992-9E1E-20D3600E43FC}"/>
  <tableColumns count="2">
    <tableColumn id="1" xr3:uid="{64904E26-B8B9-458A-A089-FF67726DD1D4}" name="Invoices" totalsRowLabel="Total" dataDxfId="190" totalsRowDxfId="189"/>
    <tableColumn id="2" xr3:uid="{02BA7BD1-A637-4627-B34F-751E07EAD4D0}" name="Amount" totalsRowFunction="sum"/>
  </tableColumns>
  <tableStyleInfo name="TableStyleMedium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6B58BEE1-75AE-4D13-86A7-A4B37A3DE7F0}" name="AprBills" displayName="AprBills" ref="H2:I10">
  <tableColumns count="2">
    <tableColumn id="1" xr3:uid="{220B72A7-B5AC-4E60-A6A4-85FFFCFC1067}" name="April Bills" totalsRowLabel="Total" dataDxfId="188" totalsRowDxfId="187"/>
    <tableColumn id="2" xr3:uid="{92D0F938-21BF-49D2-9E24-D04FEF8AB659}" name="Amount"/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4A781895-6AA3-4602-8425-904E25E5D32E}" name="AprBillsTo" displayName="AprBillsTo" ref="H12:H13" totalsRowShown="0" headerRowDxfId="186" dataDxfId="185">
  <autoFilter ref="H12:H13" xr:uid="{4A781895-6AA3-4602-8425-904E25E5D32E}"/>
  <tableColumns count="1">
    <tableColumn id="1" xr3:uid="{22E9DF66-3765-46A5-B856-770476A5DC38}" name="Bills*" dataDxfId="184">
      <calculatedColumnFormula>SUM(I4:I5)</calculatedColumnFormula>
    </tableColumn>
  </tableColumns>
  <tableStyleInfo name="Cash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54702870-844E-4B97-9D19-B00BD4FDF0F5}" name="MaySales" displayName="MaySales" ref="B2:F34" totalsRowShown="0" headerRowDxfId="183" dataDxfId="182">
  <autoFilter ref="B2:F34" xr:uid="{54702870-844E-4B97-9D19-B00BD4FDF0F5}"/>
  <tableColumns count="5">
    <tableColumn id="1" xr3:uid="{C03798D7-7B45-4D95-AEFC-A09738B952AF}" name="May" dataDxfId="181"/>
    <tableColumn id="4" xr3:uid="{18FF90E6-3115-48CD-98E7-720917274E96}" name="Daily Cash Takings" dataDxfId="180"/>
    <tableColumn id="5" xr3:uid="{DAF88853-2A23-4C14-8037-EECDB220284D}" name="E-POS" dataDxfId="179"/>
    <tableColumn id="6" xr3:uid="{1B2B7A8A-85B1-4E6E-8A41-E7977455330B}" name="POS" dataDxfId="178"/>
    <tableColumn id="7" xr3:uid="{BC4DC757-636F-41D7-9362-D6AE6F9A4100}" name="Refunds" dataDxfId="177"/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D1282140-4D95-4B4D-8CB4-C52C0CC3DAE0}" name="MayBills" displayName="MayBills" ref="H2:I10" headerRowDxfId="176" dataDxfId="175" totalsRowDxfId="174">
  <tableColumns count="2">
    <tableColumn id="1" xr3:uid="{9F083E99-578F-4E37-981C-85599C97B8D0}" name="May Bills" totalsRowLabel="Total" dataDxfId="173" totalsRowDxfId="172"/>
    <tableColumn id="2" xr3:uid="{C01DD3E0-7AD5-49EE-950B-F3C1E11283DA}" name="Amount" dataDxfId="171"/>
  </tableColumns>
  <tableStyleInfo name="TableStyleMedium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9EBC061B-DF82-49C1-9040-933EA03A402A}" name="MayBillsTo" displayName="MayBillsTo" ref="H12:H13" totalsRowShown="0" headerRowDxfId="170" dataDxfId="169">
  <autoFilter ref="H12:H13" xr:uid="{9EBC061B-DF82-49C1-9040-933EA03A402A}"/>
  <tableColumns count="1">
    <tableColumn id="1" xr3:uid="{F2A6F6DE-671D-4E63-812D-20488034487C}" name="Bills*" dataDxfId="168">
      <calculatedColumnFormula>SUM(I4:I5)</calculatedColumnFormula>
    </tableColumn>
  </tableColumns>
  <tableStyleInfo name="Cash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40243539-1605-4DC2-A49C-849D5A2F306A}" name="MayInvoice" displayName="MayInvoice" ref="K2:L23" totalsRowCount="1" headerRowDxfId="167" dataDxfId="166" totalsRowDxfId="165">
  <autoFilter ref="K2:L22" xr:uid="{40243539-1605-4DC2-A49C-849D5A2F306A}"/>
  <tableColumns count="2">
    <tableColumn id="1" xr3:uid="{FDD590E6-F7DC-4C7C-8745-0A3F83C76EBE}" name="invoices" totalsRowLabel="Total" dataDxfId="164" totalsRowDxfId="163"/>
    <tableColumn id="2" xr3:uid="{4DA6C8F6-932B-4A75-8942-52B982BFEB60}" name="Amount" totalsRowFunction="sum" dataDxfId="162" totalsRowDxfId="161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6B4900EC-2809-49C2-AFA6-F1ED4CEDD69A}" name="JunSales" displayName="JunSales" ref="B2:F34" totalsRowShown="0" headerRowDxfId="160" dataDxfId="159">
  <autoFilter ref="B2:F34" xr:uid="{6B4900EC-2809-49C2-AFA6-F1ED4CEDD69A}"/>
  <tableColumns count="5">
    <tableColumn id="1" xr3:uid="{466699B0-C1C4-48D1-A3AB-580716278B8C}" name="June" dataDxfId="158"/>
    <tableColumn id="4" xr3:uid="{34E934DC-B6D1-4E6F-BCB0-B3EAA2F96C7C}" name="Daily Cash Takings" dataDxfId="157"/>
    <tableColumn id="5" xr3:uid="{838BF8F9-C6B1-49EE-8D53-7BC175BDD05B}" name="E-POS" dataDxfId="156"/>
    <tableColumn id="6" xr3:uid="{E573ECF2-19A9-4136-A897-7E1AD23CCF12}" name="POS" dataDxfId="155"/>
    <tableColumn id="7" xr3:uid="{0D4097F7-F2BE-4EE3-B9AA-C432AA4A6070}" name="Refunds" dataDxfId="154"/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1243218-9E5F-497B-A444-315AA2732A9D}" name="JunBills" displayName="JunBills" ref="H2:I10" headerRowDxfId="153" dataDxfId="152" totalsRowDxfId="151">
  <tableColumns count="2">
    <tableColumn id="1" xr3:uid="{94CE61B7-269D-413B-92C8-6A7A1773EDDB}" name="June Bills" totalsRowLabel="Total" dataDxfId="150" totalsRowDxfId="149"/>
    <tableColumn id="2" xr3:uid="{3E734EB6-8FAC-422C-AE61-F32E01CC2956}" name="Amount" dataDxfId="148"/>
  </tableColumns>
  <tableStyleInfo name="TableStyleMedium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F1FA535A-5788-49E2-B21C-7BDB9B20149C}" name="JunBillsTo" displayName="JunBillsTo" ref="H12:H13" totalsRowShown="0" headerRowDxfId="147" dataDxfId="146">
  <autoFilter ref="H12:H13" xr:uid="{F1FA535A-5788-49E2-B21C-7BDB9B20149C}"/>
  <tableColumns count="1">
    <tableColumn id="1" xr3:uid="{7C6CFC8B-4092-4DCD-9FA8-072291EFC05C}" name="Bills*" dataDxfId="145">
      <calculatedColumnFormula>SUM(I4:I5)</calculatedColumnFormula>
    </tableColumn>
  </tableColumns>
  <tableStyleInfo name="Cash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C32A89CB-EF25-42B3-B562-8A7853FC19D9}" name="JunInvoice" displayName="JunInvoice" ref="K2:L23" totalsRowCount="1" headerRowDxfId="144" dataDxfId="143" totalsRowDxfId="142">
  <autoFilter ref="K2:L22" xr:uid="{C32A89CB-EF25-42B3-B562-8A7853FC19D9}"/>
  <tableColumns count="2">
    <tableColumn id="1" xr3:uid="{1C719678-863E-443F-BC32-30D77E1DDF02}" name="Invoices" totalsRowLabel="Total" dataDxfId="141" totalsRowDxfId="140"/>
    <tableColumn id="2" xr3:uid="{F2766A4C-2ACB-4BDA-8AF4-9F9C9EB53365}" name="Amount" totalsRowFunction="sum" dataDxfId="139" totalsRowDxfId="138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38DC9864-77F4-4159-85C1-1BF5711ECAE6}" name="JulSales" displayName="JulSales" ref="B2:F34" totalsRowShown="0" headerRowDxfId="137" dataDxfId="136">
  <autoFilter ref="B2:F34" xr:uid="{38DC9864-77F4-4159-85C1-1BF5711ECAE6}"/>
  <tableColumns count="5">
    <tableColumn id="1" xr3:uid="{D0402BAA-7BAC-4A8B-ACDD-1376513F7D90}" name="July" dataDxfId="135"/>
    <tableColumn id="4" xr3:uid="{5B3F9A14-5F65-4CD6-B8DF-585E10F0B866}" name="Daily Cash Takings" dataDxfId="134"/>
    <tableColumn id="5" xr3:uid="{5809EB19-EBFE-4239-9EE6-CFD584C5A87C}" name="E-POS" dataDxfId="133"/>
    <tableColumn id="6" xr3:uid="{29D82554-1760-420C-8F97-297E3BFB512E}" name="POS" dataDxfId="132"/>
    <tableColumn id="7" xr3:uid="{D3636487-B567-4F2F-AA1E-F1AC55E0BAD0}" name="Refunds" dataDxfId="131"/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8504C728-D679-4DE2-A617-4BDBD55B908B}" name="JulBills" displayName="JulBills" ref="H2:I10" headerRowDxfId="130" dataDxfId="129" totalsRowDxfId="128">
  <tableColumns count="2">
    <tableColumn id="1" xr3:uid="{9A653EC4-E36F-46E6-8B25-2D36ACCBA89A}" name="July Bills " totalsRowLabel="Total" dataDxfId="127" totalsRowDxfId="126"/>
    <tableColumn id="2" xr3:uid="{D6C4F20A-01E3-4999-9643-1D5ECD0F9B1A}" name="Amount" dataDxfId="125"/>
  </tableColumns>
  <tableStyleInfo name="TableStyleMedium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8AFCC37C-170D-4CCA-969E-E6D1054E3A4D}" name="JulBillsTo" displayName="JulBillsTo" ref="H12:H13" totalsRowShown="0" headerRowDxfId="124" dataDxfId="123">
  <autoFilter ref="H12:H13" xr:uid="{8AFCC37C-170D-4CCA-969E-E6D1054E3A4D}"/>
  <tableColumns count="1">
    <tableColumn id="1" xr3:uid="{7450AB63-D3CE-4AB1-B3AC-756216E0D3A8}" name="Bills*" dataDxfId="122">
      <calculatedColumnFormula>SUM(I4:I5)</calculatedColumnFormula>
    </tableColumn>
  </tableColumns>
  <tableStyleInfo name="Cash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3B4A6602-FF4B-42F1-A679-7EC2A9851217}" name="JulInvoice" displayName="JulInvoice" ref="K2:L23" totalsRowCount="1" headerRowDxfId="121" dataDxfId="120" totalsRowDxfId="119">
  <autoFilter ref="K2:L22" xr:uid="{3B4A6602-FF4B-42F1-A679-7EC2A9851217}"/>
  <tableColumns count="2">
    <tableColumn id="1" xr3:uid="{66DE826C-E20D-4C06-9DA3-AE64BC956E9E}" name="Invoices" totalsRowLabel="Total" dataDxfId="118" totalsRowDxfId="117"/>
    <tableColumn id="2" xr3:uid="{371ADCB1-98B4-4DAB-826D-73EB96BC14FD}" name="Amount" totalsRowFunction="sum" dataDxfId="116" totalsRowDxfId="115"/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5083CC0-4E9F-4319-BF87-DFF1BA7A7B61}" name="AugSales" displayName="AugSales" ref="B2:F34" totalsRowShown="0" headerRowDxfId="114" dataDxfId="113">
  <autoFilter ref="B2:F34" xr:uid="{15083CC0-4E9F-4319-BF87-DFF1BA7A7B61}"/>
  <tableColumns count="5">
    <tableColumn id="1" xr3:uid="{FC908DDA-C344-4749-AEDD-480609E6EE29}" name="August" dataDxfId="112"/>
    <tableColumn id="4" xr3:uid="{AEF008BD-6375-4355-A9D7-15A332667FDA}" name="Daily Cash Takings" dataDxfId="111"/>
    <tableColumn id="5" xr3:uid="{F05706B0-A6EB-4B3D-B3A4-D314C0A14DC6}" name="E-POS" dataDxfId="110"/>
    <tableColumn id="6" xr3:uid="{5AEAA846-633A-4707-A16F-F4A000F16545}" name="POS" dataDxfId="109"/>
    <tableColumn id="7" xr3:uid="{FAF6422E-6B82-4084-92FF-7388DA0EDF67}" name="Refunds" dataDxfId="108"/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7EB3EA66-97B6-457C-A7ED-42F9670F359D}" name="AugBills" displayName="AugBills" ref="H2:I10" headerRowDxfId="107" dataDxfId="106" totalsRowDxfId="105">
  <tableColumns count="2">
    <tableColumn id="1" xr3:uid="{8690B3A7-6469-4CA9-8A8E-6C07C1050484}" name="August Bills" totalsRowLabel="Total" dataDxfId="104" totalsRowDxfId="103"/>
    <tableColumn id="2" xr3:uid="{FA4446C0-F43D-4CCA-90BA-869325FCF61F}" name="Amount" dataDxfId="102"/>
  </tableColumns>
  <tableStyleInfo name="TableStyleMedium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1FD140C-9005-4CCA-A422-C45FBB011A28}" name="AugBillsTo" displayName="AugBillsTo" ref="H12:H13" totalsRowShown="0" headerRowDxfId="101" dataDxfId="100">
  <autoFilter ref="H12:H13" xr:uid="{01FD140C-9005-4CCA-A422-C45FBB011A28}"/>
  <tableColumns count="1">
    <tableColumn id="1" xr3:uid="{190EAE2E-1BB8-4148-9055-497537D57F2A}" name="Bills*" dataDxfId="99">
      <calculatedColumnFormula>SUM(I4:I5)</calculatedColumnFormula>
    </tableColumn>
  </tableColumns>
  <tableStyleInfo name="Cash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14741B85-7A37-4C7A-92F5-F70A86AF4870}" name="AugInvoice" displayName="AugInvoice" ref="K2:L23" totalsRowCount="1" headerRowDxfId="98" dataDxfId="97" totalsRowDxfId="96">
  <autoFilter ref="K2:L22" xr:uid="{14741B85-7A37-4C7A-92F5-F70A86AF4870}"/>
  <tableColumns count="2">
    <tableColumn id="1" xr3:uid="{75F145F7-6B60-4A15-9A47-2ED9566FDC98}" name="Invoices" totalsRowLabel="Total" dataDxfId="95" totalsRowDxfId="94"/>
    <tableColumn id="2" xr3:uid="{ADA8517D-AEB1-42DF-A12D-5E2D3AA6B5A0}" name="Amount" totalsRowFunction="sum" dataDxfId="93" totalsRowDxfId="92"/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25BCD513-E451-4689-A5FA-18BC50DA7426}" name="SepSales" displayName="SepSales" ref="B2:F34" totalsRowShown="0" headerRowDxfId="91" dataDxfId="90">
  <autoFilter ref="B2:F34" xr:uid="{25BCD513-E451-4689-A5FA-18BC50DA7426}"/>
  <tableColumns count="5">
    <tableColumn id="1" xr3:uid="{809F2837-02D9-4594-BE22-B6B20FEA4B71}" name="September" dataDxfId="89"/>
    <tableColumn id="4" xr3:uid="{D2506A60-9EEE-49F5-89DF-64448451DCE0}" name="Daily Cash Takings" dataDxfId="88"/>
    <tableColumn id="5" xr3:uid="{E983CE83-0452-4B34-8360-E2A516BFA094}" name="E-POS" dataDxfId="87"/>
    <tableColumn id="6" xr3:uid="{D86D36C3-F534-463B-9A87-6BA30C789CB2}" name="POS" dataDxfId="86"/>
    <tableColumn id="7" xr3:uid="{B3DB86AF-C10D-4BE3-BEDB-C82E40A74177}" name="Refunds" dataDxfId="85"/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9CF93E80-38D9-4580-97E0-65383E2EDDEB}" name="SepBills" displayName="SepBills" ref="H2:I10" headerRowDxfId="84" dataDxfId="83" totalsRowDxfId="82">
  <tableColumns count="2">
    <tableColumn id="1" xr3:uid="{9EAA4040-E6EB-4A40-8DAF-6B3513DF66C0}" name="September Bills" totalsRowLabel="Total" dataDxfId="81" totalsRowDxfId="80"/>
    <tableColumn id="2" xr3:uid="{BBB7F6E3-2C40-42C8-AA80-26CA9C356930}" name="Amount" dataDxfId="79"/>
  </tableColumns>
  <tableStyleInfo name="TableStyleMedium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FAEBE899-76AA-4F45-B7E4-9CABECE2FFE6}" name="SepBillsTo" displayName="SepBillsTo" ref="H12:H13" totalsRowShown="0" headerRowDxfId="78" dataDxfId="77">
  <autoFilter ref="H12:H13" xr:uid="{FAEBE899-76AA-4F45-B7E4-9CABECE2FFE6}"/>
  <tableColumns count="1">
    <tableColumn id="1" xr3:uid="{17E9B147-620C-4DAD-BE45-7CF3D9F49773}" name="Bills*" dataDxfId="76">
      <calculatedColumnFormula>SUM(I4:I5)</calculatedColumnFormula>
    </tableColumn>
  </tableColumns>
  <tableStyleInfo name="Cash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383357C-0A64-49B7-BEA8-AB028B1A265C}" name="SepInvoice" displayName="SepInvoice" ref="K2:L23" totalsRowCount="1" headerRowDxfId="75" dataDxfId="74" totalsRowDxfId="73">
  <autoFilter ref="K2:L22" xr:uid="{0383357C-0A64-49B7-BEA8-AB028B1A265C}"/>
  <tableColumns count="2">
    <tableColumn id="1" xr3:uid="{2B60C219-0DA4-4DF5-ACD6-F61B018E2370}" name="Invoices" totalsRowLabel="Total" dataDxfId="72" totalsRowDxfId="71"/>
    <tableColumn id="2" xr3:uid="{897FB4CD-4470-42F7-A02A-95765820C053}" name="Amount" totalsRowFunction="sum" dataDxfId="70" totalsRowDxfId="69"/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ED678AD5-14E1-429F-A68A-A9C3A7FF8750}" name="OctSales" displayName="OctSales" ref="B2:F34" totalsRowShown="0" headerRowDxfId="68" dataDxfId="67">
  <autoFilter ref="B2:F34" xr:uid="{ED678AD5-14E1-429F-A68A-A9C3A7FF8750}"/>
  <tableColumns count="5">
    <tableColumn id="1" xr3:uid="{65E3F60E-35A9-474F-ACCC-D945C7142339}" name="October" dataDxfId="66"/>
    <tableColumn id="4" xr3:uid="{09D45DDE-06AD-4274-B643-80B405DE41DA}" name="Daily Cash Takings" dataDxfId="65"/>
    <tableColumn id="5" xr3:uid="{D1682D04-534A-41B2-8557-A4A73E573186}" name="E-POS" dataDxfId="64"/>
    <tableColumn id="6" xr3:uid="{9ECC3C50-48A8-40F5-B073-5566E8050CFE}" name="POS" dataDxfId="63"/>
    <tableColumn id="7" xr3:uid="{4BA028D5-706B-4C3C-A494-99C36B8E7233}" name="Refunds" dataDxfId="62"/>
  </tableColumns>
  <tableStyleInfo name="TableStyleMedium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01E336B-46DD-42AF-A5E6-CB716D7B234C}" name="OctBills" displayName="OctBills" ref="H2:I10" headerRowDxfId="61" dataDxfId="60" totalsRowDxfId="59">
  <tableColumns count="2">
    <tableColumn id="1" xr3:uid="{8228A721-497A-4A7C-9199-C0868954E36A}" name="October Bills" totalsRowLabel="Total" dataDxfId="58" totalsRowDxfId="57"/>
    <tableColumn id="2" xr3:uid="{24A0A24A-47AF-4037-A57B-734F3EBFAA26}" name="Amount" dataDxfId="56"/>
  </tableColumns>
  <tableStyleInfo name="TableStyleMedium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9C43D0B5-CFF8-435F-97DA-CEB9012E38C5}" name="OctBillsTo" displayName="OctBillsTo" ref="H12:H13" totalsRowShown="0" headerRowDxfId="55" dataDxfId="54">
  <autoFilter ref="H12:H13" xr:uid="{9C43D0B5-CFF8-435F-97DA-CEB9012E38C5}"/>
  <tableColumns count="1">
    <tableColumn id="1" xr3:uid="{F1D1059E-38D1-4632-844D-BC575AE58476}" name="Bills*" dataDxfId="53">
      <calculatedColumnFormula>SUM(I4:I5)</calculatedColumnFormula>
    </tableColumn>
  </tableColumns>
  <tableStyleInfo name="Cash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6590D29-1BB2-4FDA-AD4D-FA25A6836F64}" name="OctInvoice" displayName="OctInvoice" ref="K2:L23" totalsRowCount="1" headerRowDxfId="52" dataDxfId="51" totalsRowDxfId="50">
  <autoFilter ref="K2:L22" xr:uid="{06590D29-1BB2-4FDA-AD4D-FA25A6836F64}"/>
  <tableColumns count="2">
    <tableColumn id="1" xr3:uid="{20C41EE7-57E8-42A8-A601-E09A500DCD4C}" name="Invoices" totalsRowLabel="Total" dataDxfId="49" totalsRowDxfId="48"/>
    <tableColumn id="2" xr3:uid="{CBCA1649-0A69-41BB-ADD7-00E5DF3AF3A8}" name="Amount" totalsRowFunction="sum" dataDxfId="47" totalsRowDxfId="46"/>
  </tableColumns>
  <tableStyleInfo name="TableStyleMedium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E49948B5-EBCB-4F36-A243-4F0184EEB8A0}" name="NovSales" displayName="NovSales" ref="B2:F34" totalsRowShown="0" headerRowDxfId="45" dataDxfId="44">
  <autoFilter ref="B2:F34" xr:uid="{E49948B5-EBCB-4F36-A243-4F0184EEB8A0}"/>
  <tableColumns count="5">
    <tableColumn id="1" xr3:uid="{A60594FB-75FA-4CCB-BFBB-9C86072C49CF}" name="November" dataDxfId="43"/>
    <tableColumn id="4" xr3:uid="{00E95512-57BA-408C-8260-D34220F4D2DA}" name="Daily Cash Takings" dataDxfId="42"/>
    <tableColumn id="5" xr3:uid="{7A1B31EE-B70B-4503-97EA-DF61CCF6887B}" name="E-POS" dataDxfId="41"/>
    <tableColumn id="6" xr3:uid="{0688A99C-CC3E-4303-8F2E-247EDA7B33AB}" name="POS" dataDxfId="40"/>
    <tableColumn id="7" xr3:uid="{BEFACC22-F63F-4E13-9C97-5A9D4386720D}" name="Refunds" dataDxfId="39"/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33F3DD4F-8E47-433F-BF13-43185228D23F}" name="NovBills" displayName="NovBills" ref="H2:I10" headerRowDxfId="38" dataDxfId="37" totalsRowDxfId="36">
  <tableColumns count="2">
    <tableColumn id="1" xr3:uid="{E6FB0B2E-1567-43D0-984D-09F53C54983A}" name="November Bills" totalsRowLabel="Total" dataDxfId="35" totalsRowDxfId="34"/>
    <tableColumn id="2" xr3:uid="{742F9D9A-C4DC-4F4C-8B18-71408E643CF6}" name="Amount" dataDxfId="33"/>
  </tableColumns>
  <tableStyleInfo name="TableStyleMedium15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4B67D171-2854-4412-B7B4-AD36837BBF3C}" name="NovBillsTo" displayName="NovBillsTo" ref="H12:H13" totalsRowShown="0" headerRowDxfId="32" dataDxfId="31">
  <autoFilter ref="H12:H13" xr:uid="{4B67D171-2854-4412-B7B4-AD36837BBF3C}"/>
  <tableColumns count="1">
    <tableColumn id="1" xr3:uid="{E03264FC-70B0-4D8A-AD4C-BFD9F7BFFE75}" name="Bills*" dataDxfId="30">
      <calculatedColumnFormula>SUM(I4:I5)</calculatedColumnFormula>
    </tableColumn>
  </tableColumns>
  <tableStyleInfo name="Cash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B1CE5CB6-80FD-4748-BA11-CA67F597511B}" name="NovInvoice" displayName="NovInvoice" ref="K2:L23" totalsRowCount="1" headerRowDxfId="29" dataDxfId="28" totalsRowDxfId="27">
  <autoFilter ref="K2:L22" xr:uid="{B1CE5CB6-80FD-4748-BA11-CA67F597511B}"/>
  <tableColumns count="2">
    <tableColumn id="1" xr3:uid="{35A65E57-FB0E-44E0-B0F7-6ABD879909D1}" name="Invoices" totalsRowLabel="Total" dataDxfId="26" totalsRowDxfId="25"/>
    <tableColumn id="2" xr3:uid="{643C79CD-1FFE-4D03-9094-1921D105E3C3}" name="Amount" totalsRowFunction="sum" dataDxfId="24" totalsRowDxfId="23"/>
  </tableColumns>
  <tableStyleInfo name="TableStyleMedium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F73076F4-DBD0-4772-B37E-007DB03DF2E4}" name="DecSales" displayName="DecSales" ref="B2:F34" totalsRowShown="0" headerRowDxfId="22" dataDxfId="21">
  <autoFilter ref="B2:F34" xr:uid="{F73076F4-DBD0-4772-B37E-007DB03DF2E4}"/>
  <tableColumns count="5">
    <tableColumn id="1" xr3:uid="{E0E97A78-B370-40C9-90B4-7B69E42E030D}" name="December" dataDxfId="20"/>
    <tableColumn id="4" xr3:uid="{3B20C4E5-C89B-4CEB-B86E-1A3238CB25A0}" name="Daily Cash Takings" dataDxfId="19"/>
    <tableColumn id="5" xr3:uid="{855B8DA7-EB00-4084-8498-928CA2177D3E}" name="E-POS" dataDxfId="18"/>
    <tableColumn id="6" xr3:uid="{1C0A12B7-3BF7-4375-87C9-E9C2B66EF1DD}" name="POS" dataDxfId="17"/>
    <tableColumn id="7" xr3:uid="{3BACB34F-08B3-465F-8CC9-75ECA5836036}" name="Refunds" dataDxfId="16"/>
  </tableColumns>
  <tableStyleInfo name="TableStyleMedium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C2EE39ED-9430-4471-A35E-B8C1F4A4B3FA}" name="DecBills" displayName="DecBills" ref="H2:I10" headerRowDxfId="15" dataDxfId="14" totalsRowDxfId="13">
  <tableColumns count="2">
    <tableColumn id="1" xr3:uid="{C413D5F4-DF86-4215-AEF1-A2550ADCD14D}" name="December Bills" totalsRowLabel="Total" dataDxfId="12" totalsRowDxfId="11"/>
    <tableColumn id="2" xr3:uid="{CBBAE350-CCB3-4423-AE60-27D8F38AE12B}" name="Amount" dataDxfId="10"/>
  </tableColumns>
  <tableStyleInfo name="TableStyleMedium15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3DB3539-61E7-4033-ADF0-8A128BC4FB30}" name="DecBillsTo" displayName="DecBillsTo" ref="H12:H13" totalsRowShown="0" headerRowDxfId="9" dataDxfId="8">
  <autoFilter ref="H12:H13" xr:uid="{63DB3539-61E7-4033-ADF0-8A128BC4FB30}"/>
  <tableColumns count="1">
    <tableColumn id="1" xr3:uid="{1AC06C41-C667-4860-BFB8-9D8429999C09}" name="Bills*" dataDxfId="7">
      <calculatedColumnFormula>SUM(I4:I5)</calculatedColumnFormula>
    </tableColumn>
  </tableColumns>
  <tableStyleInfo name="Cash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452340CA-75C7-4703-9D51-06555EF676CD}" name="DecInvoice" displayName="DecInvoice" ref="K2:L23" totalsRowCount="1" headerRowDxfId="6" dataDxfId="5" totalsRowDxfId="4">
  <autoFilter ref="K2:L22" xr:uid="{452340CA-75C7-4703-9D51-06555EF676CD}"/>
  <tableColumns count="2">
    <tableColumn id="1" xr3:uid="{31B040BC-EECE-4950-9590-42E8B511C5E2}" name="Invoices" totalsRowLabel="Total" dataDxfId="3" totalsRowDxfId="2"/>
    <tableColumn id="2" xr3:uid="{BEB03826-D40C-4E7D-B7F8-ECB18F657304}" name="Amount" totalsRowFunction="sum" dataDxfId="1" totalsRow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39.xml"/><Relationship Id="rId4" Type="http://schemas.openxmlformats.org/officeDocument/2006/relationships/table" Target="../tables/table3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3.xml"/><Relationship Id="rId4" Type="http://schemas.openxmlformats.org/officeDocument/2006/relationships/table" Target="../tables/table4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78A7-DC23-40FB-BC8B-6FE6FE917A5A}">
  <dimension ref="B3:P26"/>
  <sheetViews>
    <sheetView zoomScale="90" zoomScaleNormal="90" workbookViewId="0">
      <selection activeCell="B15" sqref="B15:P22"/>
    </sheetView>
  </sheetViews>
  <sheetFormatPr defaultRowHeight="14.4" x14ac:dyDescent="0.3"/>
  <cols>
    <col min="1" max="1" width="8.88671875" customWidth="1"/>
    <col min="2" max="2" width="29" customWidth="1"/>
    <col min="3" max="3" width="10.77734375" customWidth="1"/>
    <col min="4" max="4" width="12.6640625" customWidth="1"/>
    <col min="5" max="5" width="14.5546875" customWidth="1"/>
    <col min="6" max="6" width="12.88671875" customWidth="1"/>
    <col min="7" max="7" width="13.109375" customWidth="1"/>
    <col min="8" max="10" width="12.21875" customWidth="1"/>
    <col min="11" max="11" width="11.5546875" customWidth="1"/>
    <col min="12" max="12" width="12.44140625" customWidth="1"/>
    <col min="13" max="13" width="11.21875" customWidth="1"/>
    <col min="14" max="14" width="13.21875" customWidth="1"/>
    <col min="15" max="15" width="12.33203125" customWidth="1"/>
    <col min="16" max="16" width="12.21875" customWidth="1"/>
  </cols>
  <sheetData>
    <row r="3" spans="2:16" s="6" customFormat="1" ht="24.6" customHeight="1" x14ac:dyDescent="0.3">
      <c r="B3" s="5" t="s">
        <v>18</v>
      </c>
      <c r="C3" s="3" t="s">
        <v>4</v>
      </c>
      <c r="D3" s="23" t="s">
        <v>5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s="3" t="s">
        <v>1</v>
      </c>
    </row>
    <row r="4" spans="2:16" s="7" customFormat="1" ht="24.6" customHeight="1" x14ac:dyDescent="0.3">
      <c r="B4" s="5" t="s">
        <v>63</v>
      </c>
      <c r="C4" s="5"/>
      <c r="D4" s="5">
        <f t="shared" ref="D4:O4" si="0">C26</f>
        <v>0</v>
      </c>
      <c r="E4" s="5">
        <f t="shared" si="0"/>
        <v>0</v>
      </c>
      <c r="F4" s="5">
        <f t="shared" si="0"/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1"/>
    </row>
    <row r="5" spans="2:16" x14ac:dyDescent="0.3">
      <c r="B5" s="1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s="4" customFormat="1" x14ac:dyDescent="0.3">
      <c r="B6" s="20" t="s">
        <v>17</v>
      </c>
      <c r="C6" s="20" t="s">
        <v>0</v>
      </c>
      <c r="D6" s="21" t="s">
        <v>5</v>
      </c>
      <c r="E6" s="21" t="s">
        <v>6</v>
      </c>
      <c r="F6" s="21" t="s">
        <v>7</v>
      </c>
      <c r="G6" s="21" t="s">
        <v>8</v>
      </c>
      <c r="H6" s="21" t="s">
        <v>9</v>
      </c>
      <c r="I6" s="21" t="s">
        <v>10</v>
      </c>
      <c r="J6" s="21" t="s">
        <v>11</v>
      </c>
      <c r="K6" s="21" t="s">
        <v>12</v>
      </c>
      <c r="L6" s="21" t="s">
        <v>13</v>
      </c>
      <c r="M6" s="21" t="s">
        <v>14</v>
      </c>
      <c r="N6" s="21" t="s">
        <v>15</v>
      </c>
      <c r="O6" s="21" t="s">
        <v>16</v>
      </c>
      <c r="P6" s="21" t="s">
        <v>1</v>
      </c>
    </row>
    <row r="7" spans="2:16" s="4" customFormat="1" x14ac:dyDescent="0.3">
      <c r="B7" s="8" t="s">
        <v>19</v>
      </c>
      <c r="C7" s="1"/>
      <c r="D7" s="5">
        <f>January!C34</f>
        <v>0</v>
      </c>
      <c r="E7" s="5">
        <f>February!C34</f>
        <v>0</v>
      </c>
      <c r="F7" s="5">
        <f>March!C34</f>
        <v>0</v>
      </c>
      <c r="G7" s="5">
        <f>April!C34</f>
        <v>0</v>
      </c>
      <c r="H7" s="5">
        <f>May!C34</f>
        <v>0</v>
      </c>
      <c r="I7" s="5">
        <f>June!C34</f>
        <v>0</v>
      </c>
      <c r="J7" s="5">
        <f>July!C34</f>
        <v>0</v>
      </c>
      <c r="K7" s="5">
        <f>August!C34</f>
        <v>0</v>
      </c>
      <c r="L7" s="5">
        <f>September!C34</f>
        <v>0</v>
      </c>
      <c r="M7" s="5">
        <f>October!C34</f>
        <v>0</v>
      </c>
      <c r="N7" s="5">
        <f>November!C34</f>
        <v>0</v>
      </c>
      <c r="O7" s="5">
        <f>December!C34</f>
        <v>0</v>
      </c>
      <c r="P7" s="5">
        <f>SUM(Revenue[[#This Row],[Jan-26]:[Dec-26]])</f>
        <v>0</v>
      </c>
    </row>
    <row r="8" spans="2:16" s="4" customFormat="1" x14ac:dyDescent="0.3">
      <c r="B8" s="8" t="s">
        <v>2</v>
      </c>
      <c r="C8" s="1"/>
      <c r="D8" s="5">
        <f>January!D34</f>
        <v>0</v>
      </c>
      <c r="E8" s="5">
        <f>February!D34</f>
        <v>0</v>
      </c>
      <c r="F8" s="5">
        <f>March!D34</f>
        <v>0</v>
      </c>
      <c r="G8" s="5">
        <f>April!D34</f>
        <v>0</v>
      </c>
      <c r="H8" s="5">
        <f>May!D34</f>
        <v>0</v>
      </c>
      <c r="I8" s="5">
        <f>June!D34</f>
        <v>0</v>
      </c>
      <c r="J8" s="5">
        <f>July!D34</f>
        <v>0</v>
      </c>
      <c r="K8" s="5">
        <f>August!D34</f>
        <v>0</v>
      </c>
      <c r="L8" s="5">
        <f>September!D34</f>
        <v>0</v>
      </c>
      <c r="M8" s="5">
        <f>October!D34</f>
        <v>0</v>
      </c>
      <c r="N8" s="5">
        <f>November!D34</f>
        <v>0</v>
      </c>
      <c r="O8" s="5">
        <f>December!D34</f>
        <v>0</v>
      </c>
      <c r="P8" s="5">
        <f>SUM(Revenue[[#This Row],[Jan-26]:[Dec-26]])</f>
        <v>0</v>
      </c>
    </row>
    <row r="9" spans="2:16" s="4" customFormat="1" x14ac:dyDescent="0.3">
      <c r="B9" s="8" t="s">
        <v>3</v>
      </c>
      <c r="C9" s="1"/>
      <c r="D9" s="5">
        <f>January!E34</f>
        <v>0</v>
      </c>
      <c r="E9" s="5">
        <f>February!E34</f>
        <v>0</v>
      </c>
      <c r="F9" s="5">
        <f>March!E34</f>
        <v>0</v>
      </c>
      <c r="G9" s="5">
        <f>April!E34</f>
        <v>0</v>
      </c>
      <c r="H9" s="5">
        <f>May!E34</f>
        <v>0</v>
      </c>
      <c r="I9" s="5">
        <f>June!E34</f>
        <v>0</v>
      </c>
      <c r="J9" s="5">
        <f>July!E34</f>
        <v>0</v>
      </c>
      <c r="K9" s="5">
        <f>August!E34</f>
        <v>0</v>
      </c>
      <c r="L9" s="5">
        <f>September!E34</f>
        <v>0</v>
      </c>
      <c r="M9" s="5">
        <f>October!E34</f>
        <v>0</v>
      </c>
      <c r="N9" s="5">
        <f>November!E34</f>
        <v>0</v>
      </c>
      <c r="O9" s="5">
        <f>December!E34</f>
        <v>0</v>
      </c>
      <c r="P9" s="5">
        <f>SUM(Revenue[[#This Row],[Jan-26]:[Dec-26]])</f>
        <v>0</v>
      </c>
    </row>
    <row r="10" spans="2:16" s="4" customFormat="1" x14ac:dyDescent="0.3">
      <c r="B10" s="8" t="s">
        <v>20</v>
      </c>
      <c r="C10" s="1"/>
      <c r="D10" s="5">
        <f>January!F34</f>
        <v>0</v>
      </c>
      <c r="E10" s="5">
        <f>February!F34</f>
        <v>0</v>
      </c>
      <c r="F10" s="5">
        <f>March!F34</f>
        <v>0</v>
      </c>
      <c r="G10" s="5">
        <f>April!F34</f>
        <v>0</v>
      </c>
      <c r="H10" s="5">
        <f>May!F34</f>
        <v>0</v>
      </c>
      <c r="I10" s="5">
        <f>June!F34</f>
        <v>0</v>
      </c>
      <c r="J10" s="5">
        <f>July!F34</f>
        <v>0</v>
      </c>
      <c r="K10" s="5">
        <f>August!F34</f>
        <v>0</v>
      </c>
      <c r="L10" s="5">
        <f>September!F34</f>
        <v>0</v>
      </c>
      <c r="M10" s="5">
        <f>October!F34</f>
        <v>0</v>
      </c>
      <c r="N10" s="5">
        <f>November!F34</f>
        <v>0</v>
      </c>
      <c r="O10" s="5">
        <f>December!F34</f>
        <v>0</v>
      </c>
      <c r="P10" s="5">
        <f>SUM(Revenue[[#This Row],[Jan-26]:[Dec-26]])</f>
        <v>0</v>
      </c>
    </row>
    <row r="11" spans="2:16" x14ac:dyDescent="0.3">
      <c r="B11" s="9" t="s">
        <v>64</v>
      </c>
      <c r="C11" s="11"/>
      <c r="D11" s="5">
        <f>SUM(D7:D9,(D10*-1))</f>
        <v>0</v>
      </c>
      <c r="E11" s="5">
        <f t="shared" ref="E11:O11" si="1">SUM(E7:E9,(E10*-1))</f>
        <v>0</v>
      </c>
      <c r="F11" s="5">
        <f t="shared" si="1"/>
        <v>0</v>
      </c>
      <c r="G11" s="5">
        <f t="shared" si="1"/>
        <v>0</v>
      </c>
      <c r="H11" s="5">
        <f t="shared" si="1"/>
        <v>0</v>
      </c>
      <c r="I11" s="5">
        <f t="shared" si="1"/>
        <v>0</v>
      </c>
      <c r="J11" s="5">
        <f t="shared" si="1"/>
        <v>0</v>
      </c>
      <c r="K11" s="5">
        <f t="shared" si="1"/>
        <v>0</v>
      </c>
      <c r="L11" s="5">
        <f t="shared" si="1"/>
        <v>0</v>
      </c>
      <c r="M11" s="5">
        <f t="shared" si="1"/>
        <v>0</v>
      </c>
      <c r="N11" s="5">
        <f t="shared" si="1"/>
        <v>0</v>
      </c>
      <c r="O11" s="5">
        <f t="shared" si="1"/>
        <v>0</v>
      </c>
      <c r="P11" s="5">
        <f>SUM(Revenue[[#Totals],[Jan-26]:[Dec-26]])</f>
        <v>0</v>
      </c>
    </row>
    <row r="12" spans="2:16" x14ac:dyDescent="0.3">
      <c r="B12" s="12" t="s">
        <v>65</v>
      </c>
      <c r="C12" s="22">
        <f>(C4+Revenue[[#Totals],[ ]])</f>
        <v>0</v>
      </c>
      <c r="D12" s="22">
        <f>(D4+Revenue[[#Totals],[Jan-26]])</f>
        <v>0</v>
      </c>
      <c r="E12" s="22">
        <f>(E4+Revenue[[#Totals],[Feb-26]])</f>
        <v>0</v>
      </c>
      <c r="F12" s="22">
        <f>(F4+Revenue[[#Totals],[Mar-26]])</f>
        <v>0</v>
      </c>
      <c r="G12" s="22">
        <f>(G4+Revenue[[#Totals],[Apr-26]])</f>
        <v>0</v>
      </c>
      <c r="H12" s="22">
        <f>(H4+Revenue[[#Totals],[May-26]])</f>
        <v>0</v>
      </c>
      <c r="I12" s="22">
        <f>(I4+Revenue[[#Totals],[Jun-26]])</f>
        <v>0</v>
      </c>
      <c r="J12" s="22">
        <f>(J4+Revenue[[#Totals],[Jul-26]])</f>
        <v>0</v>
      </c>
      <c r="K12" s="22">
        <f>(K4+Revenue[[#Totals],[Aug-26]])</f>
        <v>0</v>
      </c>
      <c r="L12" s="22">
        <f>(L4+Revenue[[#Totals],[Sep-26]])</f>
        <v>0</v>
      </c>
      <c r="M12" s="22">
        <f>(M4+Revenue[[#Totals],[Oct-26]])</f>
        <v>0</v>
      </c>
      <c r="N12" s="22">
        <f>(N4+Revenue[[#Totals],[Nov-26]])</f>
        <v>0</v>
      </c>
      <c r="O12" s="22">
        <f>(O4+Revenue[[#Totals],[Dec-26]])</f>
        <v>0</v>
      </c>
      <c r="P12" s="14"/>
    </row>
    <row r="13" spans="2:16" x14ac:dyDescent="0.3">
      <c r="B13" s="9"/>
      <c r="C13" s="1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2:16" x14ac:dyDescent="0.3">
      <c r="B14" s="19" t="s">
        <v>72</v>
      </c>
      <c r="C14" s="19" t="s">
        <v>0</v>
      </c>
      <c r="D14" s="19" t="s">
        <v>5</v>
      </c>
      <c r="E14" s="19" t="s">
        <v>6</v>
      </c>
      <c r="F14" s="19" t="s">
        <v>7</v>
      </c>
      <c r="G14" s="19" t="s">
        <v>8</v>
      </c>
      <c r="H14" s="19" t="s">
        <v>9</v>
      </c>
      <c r="I14" s="19" t="s">
        <v>10</v>
      </c>
      <c r="J14" s="19" t="s">
        <v>11</v>
      </c>
      <c r="K14" s="19" t="s">
        <v>12</v>
      </c>
      <c r="L14" s="19" t="s">
        <v>13</v>
      </c>
      <c r="M14" s="19" t="s">
        <v>14</v>
      </c>
      <c r="N14" s="19" t="s">
        <v>15</v>
      </c>
      <c r="O14" s="19" t="s">
        <v>16</v>
      </c>
      <c r="P14" s="19" t="s">
        <v>1</v>
      </c>
    </row>
    <row r="15" spans="2:16" x14ac:dyDescent="0.3">
      <c r="B15" s="8" t="s">
        <v>21</v>
      </c>
      <c r="C15" s="1"/>
      <c r="D15" s="5">
        <f>JanInvoice[[#Totals],[Amount]]</f>
        <v>0</v>
      </c>
      <c r="E15" s="5">
        <f>FebInvoice[[#Totals],[Amount]]</f>
        <v>0</v>
      </c>
      <c r="F15" s="5">
        <f>MarInvoice[[#Totals],[Amount]]</f>
        <v>0</v>
      </c>
      <c r="G15" s="5">
        <f>AprInvoice[[#Totals],[Amount]]</f>
        <v>0</v>
      </c>
      <c r="H15" s="5">
        <f>MayInvoice[[#Totals],[Amount]]</f>
        <v>0</v>
      </c>
      <c r="I15" s="5">
        <f>JunInvoice[[#Totals],[Amount]]</f>
        <v>0</v>
      </c>
      <c r="J15" s="5">
        <f>JulInvoice[[#Totals],[Amount]]</f>
        <v>0</v>
      </c>
      <c r="K15" s="5">
        <f>AugInvoice[[#Totals],[Amount]]</f>
        <v>0</v>
      </c>
      <c r="L15" s="5">
        <f>SepInvoice[[#Totals],[Amount]]</f>
        <v>0</v>
      </c>
      <c r="M15" s="5">
        <f>OctInvoice[[#Totals],[Amount]]</f>
        <v>0</v>
      </c>
      <c r="N15" s="5">
        <f>NovInvoice[[#Totals],[Amount]]</f>
        <v>0</v>
      </c>
      <c r="O15" s="5">
        <f>DecInvoice[[#Totals],[Amount]]</f>
        <v>0</v>
      </c>
      <c r="P15" s="5">
        <f>SUM(Expenses[[#This Row],[Jan-26]:[Dec-26]])</f>
        <v>0</v>
      </c>
    </row>
    <row r="16" spans="2:16" x14ac:dyDescent="0.3">
      <c r="B16" s="8" t="s">
        <v>22</v>
      </c>
      <c r="C16" s="1"/>
      <c r="D16" s="5">
        <f>January!I3</f>
        <v>0</v>
      </c>
      <c r="E16" s="5">
        <f>February!I3</f>
        <v>0</v>
      </c>
      <c r="F16" s="5">
        <f>March!I3</f>
        <v>0</v>
      </c>
      <c r="G16" s="5">
        <f>April!I3</f>
        <v>0</v>
      </c>
      <c r="H16" s="5">
        <f>May!I3</f>
        <v>0</v>
      </c>
      <c r="I16" s="5">
        <f>June!I3</f>
        <v>0</v>
      </c>
      <c r="J16" s="5">
        <f>July!I3</f>
        <v>0</v>
      </c>
      <c r="K16" s="5">
        <f>August!I3</f>
        <v>0</v>
      </c>
      <c r="L16" s="5">
        <f>September!I3</f>
        <v>0</v>
      </c>
      <c r="M16" s="5">
        <f>October!I3</f>
        <v>0</v>
      </c>
      <c r="N16" s="5">
        <f>November!I3</f>
        <v>0</v>
      </c>
      <c r="O16" s="5">
        <f>December!I3</f>
        <v>0</v>
      </c>
      <c r="P16" s="5">
        <f>SUM(Expenses[[#This Row],[Jan-26]:[Dec-26]])</f>
        <v>0</v>
      </c>
    </row>
    <row r="17" spans="2:16" x14ac:dyDescent="0.3">
      <c r="B17" s="8" t="s">
        <v>23</v>
      </c>
      <c r="C17" s="1"/>
      <c r="D17" s="5" cm="1">
        <f t="array" ref="D17">JanBillsTo[Bills*]</f>
        <v>0</v>
      </c>
      <c r="E17" s="5" cm="1">
        <f t="array" ref="E17">FebBillsTo[Bills*]</f>
        <v>0</v>
      </c>
      <c r="F17" s="5" cm="1">
        <f t="array" ref="F17">MarBillsTo[Bills*]</f>
        <v>0</v>
      </c>
      <c r="G17" s="5" cm="1">
        <f t="array" ref="G17">AprBillsTo[Bills*]</f>
        <v>0</v>
      </c>
      <c r="H17" s="5" cm="1">
        <f t="array" ref="H17">MayBillsTo[Bills*]</f>
        <v>0</v>
      </c>
      <c r="I17" s="5" cm="1">
        <f t="array" ref="I17">JunBillsTo[Bills*]</f>
        <v>0</v>
      </c>
      <c r="J17" s="5" cm="1">
        <f t="array" ref="J17">JulBillsTo[Bills*]</f>
        <v>0</v>
      </c>
      <c r="K17" s="5" cm="1">
        <f t="array" ref="K17">AugBillsTo[Bills*]</f>
        <v>0</v>
      </c>
      <c r="L17" s="5" cm="1">
        <f t="array" ref="L17">SepBillsTo[Bills*]</f>
        <v>0</v>
      </c>
      <c r="M17" s="5" cm="1">
        <f t="array" ref="M17">OctBillsTo[Bills*]</f>
        <v>0</v>
      </c>
      <c r="N17" s="5" cm="1">
        <f t="array" ref="N17">NovBillsTo[Bills*]</f>
        <v>0</v>
      </c>
      <c r="O17" s="5" cm="1">
        <f t="array" ref="O17">DecBillsTo[Bills*]</f>
        <v>0</v>
      </c>
      <c r="P17" s="5">
        <f>SUM(Expenses[[#This Row],[Jan-26]:[Dec-26]])</f>
        <v>0</v>
      </c>
    </row>
    <row r="18" spans="2:16" x14ac:dyDescent="0.3">
      <c r="B18" s="8" t="s">
        <v>24</v>
      </c>
      <c r="C18" s="1"/>
      <c r="D18" s="5">
        <f>January!I6</f>
        <v>0</v>
      </c>
      <c r="E18" s="5">
        <f>February!I6</f>
        <v>0</v>
      </c>
      <c r="F18" s="5">
        <f>March!I6</f>
        <v>0</v>
      </c>
      <c r="G18" s="5">
        <f>April!I6</f>
        <v>0</v>
      </c>
      <c r="H18" s="5">
        <f>May!I6</f>
        <v>0</v>
      </c>
      <c r="I18" s="5">
        <f>June!I6</f>
        <v>0</v>
      </c>
      <c r="J18" s="5">
        <f>July!I6</f>
        <v>0</v>
      </c>
      <c r="K18" s="5">
        <f>August!I6</f>
        <v>0</v>
      </c>
      <c r="L18" s="5">
        <f>September!I6</f>
        <v>0</v>
      </c>
      <c r="M18" s="5">
        <f>October!I6</f>
        <v>0</v>
      </c>
      <c r="N18" s="5">
        <f>November!I6</f>
        <v>0</v>
      </c>
      <c r="O18" s="5">
        <f>December!I6</f>
        <v>0</v>
      </c>
      <c r="P18" s="5">
        <f>SUM(Expenses[[#This Row],[Jan-26]:[Dec-26]])</f>
        <v>0</v>
      </c>
    </row>
    <row r="19" spans="2:16" x14ac:dyDescent="0.3">
      <c r="B19" s="8" t="s">
        <v>25</v>
      </c>
      <c r="C19" s="1"/>
      <c r="D19" s="5">
        <f>January!I7</f>
        <v>0</v>
      </c>
      <c r="E19" s="5">
        <f>February!I7</f>
        <v>0</v>
      </c>
      <c r="F19" s="5">
        <f>March!I7</f>
        <v>0</v>
      </c>
      <c r="G19" s="5">
        <f>April!I7</f>
        <v>0</v>
      </c>
      <c r="H19" s="5">
        <f>May!I7</f>
        <v>0</v>
      </c>
      <c r="I19" s="5">
        <f>June!I7</f>
        <v>0</v>
      </c>
      <c r="J19" s="5">
        <f>July!I7</f>
        <v>0</v>
      </c>
      <c r="K19" s="5">
        <f>August!I7</f>
        <v>0</v>
      </c>
      <c r="L19" s="5">
        <f>September!I7</f>
        <v>0</v>
      </c>
      <c r="M19" s="5">
        <f>October!I7</f>
        <v>0</v>
      </c>
      <c r="N19" s="5">
        <f>November!I7</f>
        <v>0</v>
      </c>
      <c r="O19" s="5">
        <f>December!I7</f>
        <v>0</v>
      </c>
      <c r="P19" s="5">
        <f>SUM(Expenses[[#This Row],[Jan-26]:[Dec-26]])</f>
        <v>0</v>
      </c>
    </row>
    <row r="20" spans="2:16" x14ac:dyDescent="0.3">
      <c r="B20" s="8" t="s">
        <v>26</v>
      </c>
      <c r="C20" s="1"/>
      <c r="D20" s="5">
        <f>January!I8</f>
        <v>0</v>
      </c>
      <c r="E20" s="5">
        <f>February!I8</f>
        <v>0</v>
      </c>
      <c r="F20" s="5">
        <f>March!I8</f>
        <v>0</v>
      </c>
      <c r="G20" s="5">
        <f>April!I8</f>
        <v>0</v>
      </c>
      <c r="H20" s="5">
        <f>May!I8</f>
        <v>0</v>
      </c>
      <c r="I20" s="5">
        <f>June!I8</f>
        <v>0</v>
      </c>
      <c r="J20" s="5">
        <f>July!I8</f>
        <v>0</v>
      </c>
      <c r="K20" s="5">
        <f>August!I8</f>
        <v>0</v>
      </c>
      <c r="L20" s="5">
        <f>September!I8</f>
        <v>0</v>
      </c>
      <c r="M20" s="5">
        <f>October!I8</f>
        <v>0</v>
      </c>
      <c r="N20" s="5">
        <f>November!I8</f>
        <v>0</v>
      </c>
      <c r="O20" s="5">
        <f>December!I8</f>
        <v>0</v>
      </c>
      <c r="P20" s="5">
        <f>SUM(Expenses[[#This Row],[Jan-26]:[Dec-26]])</f>
        <v>0</v>
      </c>
    </row>
    <row r="21" spans="2:16" x14ac:dyDescent="0.3">
      <c r="B21" s="8" t="s">
        <v>27</v>
      </c>
      <c r="C21" s="1"/>
      <c r="D21" s="5">
        <f>January!I9</f>
        <v>0</v>
      </c>
      <c r="E21" s="5">
        <f>February!I9</f>
        <v>0</v>
      </c>
      <c r="F21" s="5">
        <f>March!I9</f>
        <v>0</v>
      </c>
      <c r="G21" s="5">
        <f>April!I9</f>
        <v>0</v>
      </c>
      <c r="H21" s="5">
        <f>May!I9</f>
        <v>0</v>
      </c>
      <c r="I21" s="5">
        <f>June!I9</f>
        <v>0</v>
      </c>
      <c r="J21" s="5">
        <f>July!I9</f>
        <v>0</v>
      </c>
      <c r="K21" s="5">
        <f>August!I9</f>
        <v>0</v>
      </c>
      <c r="L21" s="5">
        <f>September!I9</f>
        <v>0</v>
      </c>
      <c r="M21" s="5">
        <f>October!I9</f>
        <v>0</v>
      </c>
      <c r="N21" s="5">
        <f>November!I9</f>
        <v>0</v>
      </c>
      <c r="O21" s="5">
        <f>December!I9</f>
        <v>0</v>
      </c>
      <c r="P21" s="5">
        <f>SUM(Expenses[[#This Row],[Jan-26]:[Dec-26]])</f>
        <v>0</v>
      </c>
    </row>
    <row r="22" spans="2:16" x14ac:dyDescent="0.3">
      <c r="B22" s="8" t="s">
        <v>28</v>
      </c>
      <c r="C22" s="1"/>
      <c r="D22" s="5">
        <f>January!I10</f>
        <v>0</v>
      </c>
      <c r="E22" s="5">
        <f>February!I10</f>
        <v>0</v>
      </c>
      <c r="F22" s="5">
        <f>March!I10</f>
        <v>0</v>
      </c>
      <c r="G22" s="5">
        <f>April!I10</f>
        <v>0</v>
      </c>
      <c r="H22" s="5">
        <f>May!I10</f>
        <v>0</v>
      </c>
      <c r="I22" s="5">
        <f>June!I10</f>
        <v>0</v>
      </c>
      <c r="J22" s="5">
        <f>July!I10</f>
        <v>0</v>
      </c>
      <c r="K22" s="5">
        <f>August!I10</f>
        <v>0</v>
      </c>
      <c r="L22" s="5">
        <f>September!I10</f>
        <v>0</v>
      </c>
      <c r="M22" s="5">
        <f>October!I10</f>
        <v>0</v>
      </c>
      <c r="N22" s="5">
        <f>November!I10</f>
        <v>0</v>
      </c>
      <c r="O22" s="5">
        <f>December!I10</f>
        <v>0</v>
      </c>
      <c r="P22" s="5">
        <f>SUM(Expenses[[#This Row],[Jan-26]:[Dec-26]])</f>
        <v>0</v>
      </c>
    </row>
    <row r="23" spans="2:16" x14ac:dyDescent="0.3">
      <c r="B23" s="9" t="s">
        <v>66</v>
      </c>
      <c r="C23" s="1"/>
      <c r="D23" s="5">
        <f>SUM(Expenses[Jan-26])</f>
        <v>0</v>
      </c>
      <c r="E23" s="5">
        <f>SUM(Expenses[Feb-26])</f>
        <v>0</v>
      </c>
      <c r="F23" s="5">
        <f>SUM(Expenses[Mar-26])</f>
        <v>0</v>
      </c>
      <c r="G23" s="5">
        <f>SUM(Expenses[Apr-26])</f>
        <v>0</v>
      </c>
      <c r="H23" s="5">
        <f>SUM(Expenses[May-26])</f>
        <v>0</v>
      </c>
      <c r="I23" s="5">
        <f>SUM(Expenses[Jun-26])</f>
        <v>0</v>
      </c>
      <c r="J23" s="5">
        <f>SUM(Expenses[Jul-26])</f>
        <v>0</v>
      </c>
      <c r="K23" s="5">
        <f>SUM(Expenses[Aug-26])</f>
        <v>0</v>
      </c>
      <c r="L23" s="5">
        <f>SUM(Expenses[Sep-26])</f>
        <v>0</v>
      </c>
      <c r="M23" s="5">
        <f>SUM(Expenses[Oct-26])</f>
        <v>0</v>
      </c>
      <c r="N23" s="5">
        <f>SUM(Expenses[Nov-26])</f>
        <v>0</v>
      </c>
      <c r="O23" s="5">
        <f>SUM(Expenses[Dec-26])</f>
        <v>0</v>
      </c>
      <c r="P23" s="5">
        <f>SUM(Expenses[[#Totals],[Jan-26]:[Dec-26]])</f>
        <v>0</v>
      </c>
    </row>
    <row r="26" spans="2:16" x14ac:dyDescent="0.3">
      <c r="B26" s="15" t="s">
        <v>67</v>
      </c>
      <c r="C26" s="16">
        <f>C12</f>
        <v>0</v>
      </c>
      <c r="D26" s="17">
        <f>D12-Expenses[[#Totals],[Jan-26]]</f>
        <v>0</v>
      </c>
      <c r="E26" s="17">
        <f>E12-Expenses[[#Totals],[Feb-26]]</f>
        <v>0</v>
      </c>
      <c r="F26" s="17">
        <f>F12-Expenses[[#Totals],[Mar-26]]</f>
        <v>0</v>
      </c>
      <c r="G26" s="17">
        <f>G12-Expenses[[#Totals],[Apr-26]]</f>
        <v>0</v>
      </c>
      <c r="H26" s="17">
        <f>H12-Expenses[[#Totals],[May-26]]</f>
        <v>0</v>
      </c>
      <c r="I26" s="17">
        <f>I12-Expenses[[#Totals],[Jun-26]]</f>
        <v>0</v>
      </c>
      <c r="J26" s="17">
        <f>J12-Expenses[[#Totals],[Jul-26]]</f>
        <v>0</v>
      </c>
      <c r="K26" s="17">
        <f>K12-Expenses[[#Totals],[Aug-26]]</f>
        <v>0</v>
      </c>
      <c r="L26" s="17">
        <f>L12-Expenses[[#Totals],[Sep-26]]</f>
        <v>0</v>
      </c>
      <c r="M26" s="17">
        <f>M12-Expenses[[#Totals],[Oct-26]]</f>
        <v>0</v>
      </c>
      <c r="N26" s="17">
        <f>N12-Expenses[[#Totals],[Nov-26]]</f>
        <v>0</v>
      </c>
      <c r="O26" s="17">
        <f>O12-Expenses[[#Totals],[Dec-26]]</f>
        <v>0</v>
      </c>
      <c r="P26" s="14"/>
    </row>
  </sheetData>
  <phoneticPr fontId="3" type="noConversion"/>
  <dataValidations disablePrompts="1" count="1">
    <dataValidation allowBlank="1" showInputMessage="1" showErrorMessage="1" prompt="Enter details in Cash Receipts table below" sqref="B5" xr:uid="{093BE7D5-88DB-4F02-95C2-6B8927129F66}"/>
  </dataValidations>
  <pageMargins left="0.7" right="0.7" top="0.75" bottom="0.75" header="0.3" footer="0.3"/>
  <pageSetup paperSize="9" orientation="portrait" r:id="rId1"/>
  <ignoredErrors>
    <ignoredError sqref="E10:F10 G10 F7 H10:O10 G7:O7 E8:O8 E9:O9" calculatedColumn="1"/>
  </ignoredErrors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2BEB-F91D-4942-82B4-CDBB0E992499}">
  <dimension ref="B2:L34"/>
  <sheetViews>
    <sheetView workbookViewId="0">
      <selection activeCell="F4" sqref="F4"/>
    </sheetView>
  </sheetViews>
  <sheetFormatPr defaultRowHeight="14.4" x14ac:dyDescent="0.3"/>
  <cols>
    <col min="2" max="2" width="12.88671875" style="5" customWidth="1"/>
    <col min="3" max="3" width="11" style="5" customWidth="1"/>
    <col min="4" max="4" width="9.88671875" style="5" customWidth="1"/>
    <col min="5" max="5" width="9.6640625" style="5" customWidth="1"/>
    <col min="6" max="6" width="17.21875" style="5" customWidth="1"/>
    <col min="7" max="7" width="6.88671875" style="5" customWidth="1"/>
    <col min="8" max="8" width="16.109375" style="5" customWidth="1"/>
    <col min="9" max="9" width="10.109375" style="5" customWidth="1"/>
    <col min="10" max="10" width="7.88671875" customWidth="1"/>
    <col min="11" max="11" width="26.5546875" bestFit="1" customWidth="1"/>
  </cols>
  <sheetData>
    <row r="2" spans="2:12" ht="27" customHeight="1" x14ac:dyDescent="0.3">
      <c r="B2" s="5" t="s">
        <v>33</v>
      </c>
      <c r="C2" s="24" t="s">
        <v>34</v>
      </c>
      <c r="D2" s="5" t="s">
        <v>2</v>
      </c>
      <c r="E2" s="5" t="s">
        <v>3</v>
      </c>
      <c r="F2" s="5" t="s">
        <v>35</v>
      </c>
      <c r="H2" s="5" t="s">
        <v>36</v>
      </c>
      <c r="I2" s="5" t="s">
        <v>37</v>
      </c>
      <c r="J2" s="5"/>
      <c r="K2" s="5" t="s">
        <v>38</v>
      </c>
      <c r="L2" s="5" t="s">
        <v>37</v>
      </c>
    </row>
    <row r="3" spans="2:12" ht="28.8" x14ac:dyDescent="0.3">
      <c r="B3" s="5">
        <v>1</v>
      </c>
      <c r="H3" s="5" t="s">
        <v>22</v>
      </c>
      <c r="J3" s="5"/>
      <c r="K3" s="25" t="s">
        <v>68</v>
      </c>
      <c r="L3" s="5"/>
    </row>
    <row r="4" spans="2:12" ht="28.8" x14ac:dyDescent="0.3">
      <c r="B4" s="5">
        <v>2</v>
      </c>
      <c r="H4" s="5" t="s">
        <v>29</v>
      </c>
      <c r="J4" s="5"/>
      <c r="K4" s="25" t="s">
        <v>69</v>
      </c>
      <c r="L4" s="5"/>
    </row>
    <row r="5" spans="2:12" ht="20.399999999999999" customHeight="1" x14ac:dyDescent="0.3">
      <c r="B5" s="5">
        <v>3</v>
      </c>
      <c r="H5" s="5" t="s">
        <v>30</v>
      </c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J8" s="5"/>
      <c r="K8" s="5">
        <v>6</v>
      </c>
      <c r="L8" s="5"/>
    </row>
    <row r="9" spans="2:12" ht="13.2" customHeight="1" x14ac:dyDescent="0.3">
      <c r="B9" s="5">
        <v>7</v>
      </c>
      <c r="H9" s="5" t="s">
        <v>27</v>
      </c>
      <c r="J9" s="5"/>
      <c r="K9" s="5">
        <v>7</v>
      </c>
      <c r="L9" s="5"/>
    </row>
    <row r="10" spans="2:12" ht="19.8" customHeight="1" x14ac:dyDescent="0.3">
      <c r="B10" s="5">
        <v>8</v>
      </c>
      <c r="H10" s="5" t="s">
        <v>28</v>
      </c>
      <c r="J10" s="5"/>
      <c r="K10" s="5">
        <v>8</v>
      </c>
      <c r="L10" s="5"/>
    </row>
    <row r="11" spans="2:12" ht="21" customHeight="1" x14ac:dyDescent="0.3">
      <c r="B11" s="5">
        <v>9</v>
      </c>
      <c r="J11" s="5"/>
      <c r="K11" s="5">
        <v>9</v>
      </c>
      <c r="L11" s="5"/>
    </row>
    <row r="12" spans="2:12" ht="19.2" customHeight="1" x14ac:dyDescent="0.3">
      <c r="B12" s="5">
        <v>10</v>
      </c>
      <c r="H12" s="5" t="s">
        <v>32</v>
      </c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J13" s="5"/>
      <c r="K13" s="5">
        <v>11</v>
      </c>
      <c r="L13" s="5"/>
    </row>
    <row r="14" spans="2:12" x14ac:dyDescent="0.3">
      <c r="B14" s="5">
        <v>12</v>
      </c>
      <c r="J14" s="5"/>
      <c r="K14" s="5">
        <v>12</v>
      </c>
      <c r="L14" s="5"/>
    </row>
    <row r="15" spans="2:12" x14ac:dyDescent="0.3">
      <c r="B15" s="5">
        <v>13</v>
      </c>
      <c r="J15" s="5"/>
      <c r="K15" s="5">
        <v>13</v>
      </c>
      <c r="L15" s="5"/>
    </row>
    <row r="16" spans="2:12" x14ac:dyDescent="0.3">
      <c r="B16" s="5">
        <v>14</v>
      </c>
      <c r="J16" s="5"/>
      <c r="K16" s="5">
        <v>14</v>
      </c>
      <c r="L16" s="5"/>
    </row>
    <row r="17" spans="2:12" x14ac:dyDescent="0.3">
      <c r="B17" s="5">
        <v>15</v>
      </c>
      <c r="J17" s="5"/>
      <c r="K17" s="5">
        <v>15</v>
      </c>
      <c r="L17" s="5"/>
    </row>
    <row r="18" spans="2:12" x14ac:dyDescent="0.3">
      <c r="B18" s="5">
        <v>16</v>
      </c>
      <c r="J18" s="5"/>
      <c r="K18" s="5">
        <v>16</v>
      </c>
      <c r="L18" s="5"/>
    </row>
    <row r="19" spans="2:12" x14ac:dyDescent="0.3">
      <c r="B19" s="5">
        <v>17</v>
      </c>
      <c r="J19" s="5"/>
      <c r="K19" s="5">
        <v>17</v>
      </c>
      <c r="L19" s="5"/>
    </row>
    <row r="20" spans="2:12" x14ac:dyDescent="0.3">
      <c r="B20" s="5">
        <v>18</v>
      </c>
      <c r="J20" s="5"/>
      <c r="K20" s="5">
        <v>18</v>
      </c>
      <c r="L20" s="5"/>
    </row>
    <row r="21" spans="2:12" x14ac:dyDescent="0.3">
      <c r="B21" s="5">
        <v>19</v>
      </c>
      <c r="J21" s="5"/>
      <c r="K21" s="5">
        <v>19</v>
      </c>
      <c r="L21" s="5"/>
    </row>
    <row r="22" spans="2:12" x14ac:dyDescent="0.3">
      <c r="B22" s="5">
        <v>20</v>
      </c>
      <c r="J22" s="5"/>
      <c r="K22" s="5">
        <v>20</v>
      </c>
      <c r="L22" s="5"/>
    </row>
    <row r="23" spans="2:12" x14ac:dyDescent="0.3">
      <c r="B23" s="5">
        <v>21</v>
      </c>
      <c r="J23" s="5"/>
      <c r="K23" s="5" t="s">
        <v>1</v>
      </c>
      <c r="L23" s="5">
        <f>SUBTOTAL(109,JanInvoice[Amount])</f>
        <v>0</v>
      </c>
    </row>
    <row r="24" spans="2:12" x14ac:dyDescent="0.3">
      <c r="B24" s="5">
        <v>22</v>
      </c>
      <c r="J24" s="5"/>
      <c r="K24" s="5"/>
      <c r="L24" s="5"/>
    </row>
    <row r="25" spans="2:12" x14ac:dyDescent="0.3">
      <c r="B25" s="5">
        <v>23</v>
      </c>
      <c r="J25" s="5"/>
      <c r="K25" s="5"/>
      <c r="L25" s="5"/>
    </row>
    <row r="26" spans="2:12" x14ac:dyDescent="0.3">
      <c r="B26" s="5">
        <v>24</v>
      </c>
      <c r="J26" s="5"/>
      <c r="K26" s="5"/>
      <c r="L26" s="5"/>
    </row>
    <row r="27" spans="2:12" x14ac:dyDescent="0.3">
      <c r="B27" s="5">
        <v>25</v>
      </c>
      <c r="J27" s="5"/>
      <c r="K27" s="5"/>
      <c r="L27" s="5"/>
    </row>
    <row r="28" spans="2:12" x14ac:dyDescent="0.3">
      <c r="B28" s="5">
        <v>26</v>
      </c>
      <c r="J28" s="5"/>
      <c r="K28" s="5"/>
      <c r="L28" s="5"/>
    </row>
    <row r="29" spans="2:12" x14ac:dyDescent="0.3">
      <c r="B29" s="5">
        <v>27</v>
      </c>
      <c r="J29" s="5"/>
      <c r="K29" s="5"/>
      <c r="L29" s="5"/>
    </row>
    <row r="30" spans="2:12" x14ac:dyDescent="0.3">
      <c r="B30" s="5">
        <v>28</v>
      </c>
      <c r="J30" s="5"/>
      <c r="K30" s="5"/>
      <c r="L30" s="5"/>
    </row>
    <row r="31" spans="2:12" x14ac:dyDescent="0.3">
      <c r="B31" s="5">
        <v>29</v>
      </c>
      <c r="J31" s="5"/>
      <c r="K31" s="5"/>
      <c r="L31" s="5"/>
    </row>
    <row r="32" spans="2:12" x14ac:dyDescent="0.3">
      <c r="B32" s="5">
        <v>30</v>
      </c>
      <c r="J32" s="5"/>
      <c r="K32" s="5"/>
      <c r="L32" s="5"/>
    </row>
    <row r="33" spans="2:12" x14ac:dyDescent="0.3">
      <c r="B33" s="5">
        <v>31</v>
      </c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J34" s="5"/>
      <c r="K34" s="5"/>
      <c r="L34" s="5"/>
    </row>
  </sheetData>
  <dataConsolidate/>
  <phoneticPr fontId="3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F550-7B68-4329-85B3-DDDA587477B6}">
  <dimension ref="B2:L34"/>
  <sheetViews>
    <sheetView zoomScaleNormal="100" workbookViewId="0">
      <selection activeCell="H7" sqref="H7"/>
    </sheetView>
  </sheetViews>
  <sheetFormatPr defaultRowHeight="14.4" x14ac:dyDescent="0.3"/>
  <cols>
    <col min="1" max="1" width="4.6640625" customWidth="1"/>
    <col min="2" max="2" width="21.77734375" style="5" customWidth="1"/>
    <col min="3" max="3" width="12.44140625" style="5" customWidth="1"/>
    <col min="4" max="4" width="10.109375" style="5" customWidth="1"/>
    <col min="5" max="5" width="10" style="5" customWidth="1"/>
    <col min="6" max="6" width="14.33203125" style="5" customWidth="1"/>
    <col min="7" max="7" width="5.109375" style="5" customWidth="1"/>
    <col min="8" max="8" width="18.77734375" style="5" customWidth="1"/>
    <col min="9" max="9" width="11.5546875" style="5" customWidth="1"/>
    <col min="10" max="10" width="5.77734375" customWidth="1"/>
    <col min="11" max="11" width="27" bestFit="1" customWidth="1"/>
  </cols>
  <sheetData>
    <row r="2" spans="2:12" ht="25.8" customHeight="1" x14ac:dyDescent="0.3">
      <c r="B2" s="5" t="s">
        <v>39</v>
      </c>
      <c r="C2" s="24" t="s">
        <v>34</v>
      </c>
      <c r="D2" s="5" t="s">
        <v>2</v>
      </c>
      <c r="E2" s="5" t="s">
        <v>3</v>
      </c>
      <c r="F2" s="24" t="s">
        <v>35</v>
      </c>
      <c r="H2" s="5" t="s">
        <v>40</v>
      </c>
      <c r="I2" s="5" t="s">
        <v>37</v>
      </c>
      <c r="J2" s="5"/>
      <c r="K2" s="5" t="s">
        <v>38</v>
      </c>
      <c r="L2" s="5" t="s">
        <v>37</v>
      </c>
    </row>
    <row r="3" spans="2:12" ht="16.2" customHeight="1" x14ac:dyDescent="0.3">
      <c r="B3" s="5">
        <v>1</v>
      </c>
      <c r="H3" s="5" t="s">
        <v>22</v>
      </c>
      <c r="J3" s="5"/>
      <c r="K3" s="25" t="s">
        <v>68</v>
      </c>
      <c r="L3" s="5"/>
    </row>
    <row r="4" spans="2:12" ht="16.2" customHeight="1" x14ac:dyDescent="0.3">
      <c r="B4" s="5">
        <v>2</v>
      </c>
      <c r="H4" s="5" t="s">
        <v>29</v>
      </c>
      <c r="J4" s="5"/>
      <c r="K4" s="25" t="s">
        <v>69</v>
      </c>
      <c r="L4" s="5"/>
    </row>
    <row r="5" spans="2:12" ht="14.4" customHeight="1" x14ac:dyDescent="0.3">
      <c r="B5" s="5">
        <v>3</v>
      </c>
      <c r="H5" s="5" t="s">
        <v>30</v>
      </c>
      <c r="J5" s="5"/>
      <c r="K5" s="25" t="s">
        <v>70</v>
      </c>
      <c r="L5" s="5"/>
    </row>
    <row r="6" spans="2:12" ht="17.399999999999999" customHeight="1" x14ac:dyDescent="0.3">
      <c r="B6" s="5">
        <v>4</v>
      </c>
      <c r="H6" s="5" t="s">
        <v>31</v>
      </c>
      <c r="J6" s="5"/>
      <c r="K6" s="25" t="s">
        <v>71</v>
      </c>
      <c r="L6" s="5"/>
    </row>
    <row r="7" spans="2:12" ht="19.2" customHeight="1" x14ac:dyDescent="0.3">
      <c r="B7" s="5">
        <v>5</v>
      </c>
      <c r="H7" s="5" t="s">
        <v>73</v>
      </c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J8" s="5"/>
      <c r="K8" s="5">
        <v>6</v>
      </c>
      <c r="L8" s="5"/>
    </row>
    <row r="9" spans="2:12" ht="16.8" customHeight="1" x14ac:dyDescent="0.3">
      <c r="B9" s="5">
        <v>7</v>
      </c>
      <c r="H9" s="5" t="s">
        <v>27</v>
      </c>
      <c r="J9" s="5"/>
      <c r="K9" s="5">
        <v>7</v>
      </c>
      <c r="L9" s="5"/>
    </row>
    <row r="10" spans="2:12" ht="17.399999999999999" customHeight="1" x14ac:dyDescent="0.3">
      <c r="B10" s="5">
        <v>8</v>
      </c>
      <c r="H10" s="5" t="s">
        <v>28</v>
      </c>
      <c r="J10" s="5"/>
      <c r="K10" s="5">
        <v>8</v>
      </c>
      <c r="L10" s="5"/>
    </row>
    <row r="11" spans="2:12" ht="15" customHeight="1" x14ac:dyDescent="0.3">
      <c r="B11" s="5">
        <v>9</v>
      </c>
      <c r="J11" s="5"/>
      <c r="K11" s="5">
        <v>9</v>
      </c>
      <c r="L11" s="5"/>
    </row>
    <row r="12" spans="2:12" ht="18" customHeight="1" x14ac:dyDescent="0.3">
      <c r="B12" s="5">
        <v>10</v>
      </c>
      <c r="H12" s="5" t="s">
        <v>32</v>
      </c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J13" s="5"/>
      <c r="K13" s="5">
        <v>11</v>
      </c>
      <c r="L13" s="5"/>
    </row>
    <row r="14" spans="2:12" x14ac:dyDescent="0.3">
      <c r="B14" s="5">
        <v>12</v>
      </c>
      <c r="J14" s="5"/>
      <c r="K14" s="5">
        <v>12</v>
      </c>
      <c r="L14" s="5"/>
    </row>
    <row r="15" spans="2:12" x14ac:dyDescent="0.3">
      <c r="B15" s="5">
        <v>13</v>
      </c>
      <c r="J15" s="5"/>
      <c r="K15" s="5">
        <v>13</v>
      </c>
      <c r="L15" s="5"/>
    </row>
    <row r="16" spans="2:12" x14ac:dyDescent="0.3">
      <c r="B16" s="5">
        <v>14</v>
      </c>
      <c r="J16" s="5"/>
      <c r="K16" s="5">
        <v>14</v>
      </c>
      <c r="L16" s="5"/>
    </row>
    <row r="17" spans="2:12" x14ac:dyDescent="0.3">
      <c r="B17" s="5">
        <v>15</v>
      </c>
      <c r="J17" s="5"/>
      <c r="K17" s="5">
        <v>15</v>
      </c>
      <c r="L17" s="5"/>
    </row>
    <row r="18" spans="2:12" x14ac:dyDescent="0.3">
      <c r="B18" s="5">
        <v>16</v>
      </c>
      <c r="J18" s="5"/>
      <c r="K18" s="5">
        <v>16</v>
      </c>
      <c r="L18" s="5"/>
    </row>
    <row r="19" spans="2:12" x14ac:dyDescent="0.3">
      <c r="B19" s="5">
        <v>17</v>
      </c>
      <c r="J19" s="5"/>
      <c r="K19" s="5">
        <v>17</v>
      </c>
      <c r="L19" s="5"/>
    </row>
    <row r="20" spans="2:12" x14ac:dyDescent="0.3">
      <c r="B20" s="5">
        <v>18</v>
      </c>
      <c r="J20" s="5"/>
      <c r="K20" s="5">
        <v>18</v>
      </c>
      <c r="L20" s="5"/>
    </row>
    <row r="21" spans="2:12" x14ac:dyDescent="0.3">
      <c r="B21" s="5">
        <v>19</v>
      </c>
      <c r="J21" s="5"/>
      <c r="K21" s="5">
        <v>19</v>
      </c>
      <c r="L21" s="5"/>
    </row>
    <row r="22" spans="2:12" x14ac:dyDescent="0.3">
      <c r="B22" s="5">
        <v>20</v>
      </c>
      <c r="J22" s="5"/>
      <c r="K22" s="5">
        <v>20</v>
      </c>
      <c r="L22" s="5"/>
    </row>
    <row r="23" spans="2:12" x14ac:dyDescent="0.3">
      <c r="B23" s="5">
        <v>21</v>
      </c>
      <c r="J23" s="5"/>
      <c r="K23" s="5" t="s">
        <v>1</v>
      </c>
      <c r="L23" s="5">
        <f>SUBTOTAL(109,FebInvoice[Amount])</f>
        <v>0</v>
      </c>
    </row>
    <row r="24" spans="2:12" x14ac:dyDescent="0.3">
      <c r="B24" s="5">
        <v>22</v>
      </c>
      <c r="J24" s="5"/>
      <c r="K24" s="5"/>
      <c r="L24" s="5"/>
    </row>
    <row r="25" spans="2:12" x14ac:dyDescent="0.3">
      <c r="B25" s="5">
        <v>23</v>
      </c>
      <c r="J25" s="5"/>
      <c r="K25" s="5"/>
      <c r="L25" s="5"/>
    </row>
    <row r="26" spans="2:12" x14ac:dyDescent="0.3">
      <c r="B26" s="5">
        <v>24</v>
      </c>
      <c r="J26" s="5"/>
      <c r="K26" s="5"/>
      <c r="L26" s="5"/>
    </row>
    <row r="27" spans="2:12" x14ac:dyDescent="0.3">
      <c r="B27" s="5">
        <v>25</v>
      </c>
      <c r="J27" s="5"/>
      <c r="K27" s="5"/>
      <c r="L27" s="5"/>
    </row>
    <row r="28" spans="2:12" x14ac:dyDescent="0.3">
      <c r="B28" s="5">
        <v>26</v>
      </c>
      <c r="J28" s="5"/>
      <c r="K28" s="5"/>
      <c r="L28" s="5"/>
    </row>
    <row r="29" spans="2:12" x14ac:dyDescent="0.3">
      <c r="B29" s="5">
        <v>27</v>
      </c>
      <c r="J29" s="5"/>
      <c r="K29" s="5"/>
      <c r="L29" s="5"/>
    </row>
    <row r="30" spans="2:12" x14ac:dyDescent="0.3">
      <c r="B30" s="5">
        <v>28</v>
      </c>
      <c r="J30" s="5"/>
      <c r="K30" s="5"/>
      <c r="L30" s="5"/>
    </row>
    <row r="31" spans="2:12" x14ac:dyDescent="0.3">
      <c r="B31" s="5">
        <v>29</v>
      </c>
      <c r="J31" s="5"/>
      <c r="K31" s="5"/>
      <c r="L31" s="5"/>
    </row>
    <row r="32" spans="2:12" x14ac:dyDescent="0.3">
      <c r="B32" s="5">
        <v>30</v>
      </c>
      <c r="J32" s="5"/>
      <c r="K32" s="5"/>
      <c r="L32" s="5"/>
    </row>
    <row r="33" spans="2:12" x14ac:dyDescent="0.3">
      <c r="B33" s="5">
        <v>31</v>
      </c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2B03-CCF3-4842-BAB9-D71E6F022E47}">
  <dimension ref="B2:L34"/>
  <sheetViews>
    <sheetView zoomScaleNormal="100" workbookViewId="0">
      <selection activeCell="H7" sqref="H7"/>
    </sheetView>
  </sheetViews>
  <sheetFormatPr defaultRowHeight="14.4" x14ac:dyDescent="0.3"/>
  <cols>
    <col min="1" max="1" width="4.6640625" customWidth="1"/>
    <col min="2" max="2" width="14.44140625" style="5" customWidth="1"/>
    <col min="3" max="3" width="13.5546875" style="5" customWidth="1"/>
    <col min="4" max="4" width="13.77734375" style="5" customWidth="1"/>
    <col min="5" max="5" width="9.44140625" style="5" customWidth="1"/>
    <col min="6" max="6" width="17.33203125" style="5" customWidth="1"/>
    <col min="7" max="7" width="3.88671875" style="5" customWidth="1"/>
    <col min="8" max="8" width="16.6640625" style="5" customWidth="1"/>
    <col min="9" max="9" width="13.109375" style="5" customWidth="1"/>
    <col min="10" max="10" width="6.109375" customWidth="1"/>
    <col min="11" max="11" width="26.5546875" bestFit="1" customWidth="1"/>
  </cols>
  <sheetData>
    <row r="2" spans="2:12" ht="28.8" customHeight="1" x14ac:dyDescent="0.3">
      <c r="B2" s="5" t="s">
        <v>41</v>
      </c>
      <c r="C2" s="24" t="s">
        <v>34</v>
      </c>
      <c r="D2" s="5" t="s">
        <v>2</v>
      </c>
      <c r="E2" s="5" t="s">
        <v>3</v>
      </c>
      <c r="F2" s="5" t="s">
        <v>35</v>
      </c>
      <c r="H2" s="5" t="s">
        <v>42</v>
      </c>
      <c r="I2" s="5" t="s">
        <v>43</v>
      </c>
      <c r="J2" s="5"/>
      <c r="K2" s="5" t="s">
        <v>38</v>
      </c>
      <c r="L2" s="5" t="s">
        <v>37</v>
      </c>
    </row>
    <row r="3" spans="2:12" ht="22.2" customHeight="1" x14ac:dyDescent="0.3">
      <c r="B3" s="5">
        <v>1</v>
      </c>
      <c r="H3" s="5" t="s">
        <v>22</v>
      </c>
      <c r="J3" s="5"/>
      <c r="K3" s="25" t="s">
        <v>68</v>
      </c>
      <c r="L3" s="5"/>
    </row>
    <row r="4" spans="2:12" ht="19.2" customHeight="1" x14ac:dyDescent="0.3">
      <c r="B4" s="5">
        <v>2</v>
      </c>
      <c r="H4" s="5" t="s">
        <v>29</v>
      </c>
      <c r="J4" s="5"/>
      <c r="K4" s="25" t="s">
        <v>69</v>
      </c>
      <c r="L4" s="5"/>
    </row>
    <row r="5" spans="2:12" ht="16.2" customHeight="1" x14ac:dyDescent="0.3">
      <c r="B5" s="5">
        <v>3</v>
      </c>
      <c r="H5" s="5" t="s">
        <v>30</v>
      </c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J6" s="5"/>
      <c r="K6" s="25" t="s">
        <v>71</v>
      </c>
      <c r="L6" s="5"/>
    </row>
    <row r="7" spans="2:12" ht="21" customHeight="1" x14ac:dyDescent="0.3">
      <c r="B7" s="5">
        <v>5</v>
      </c>
      <c r="H7" s="5" t="s">
        <v>73</v>
      </c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J8" s="5"/>
      <c r="K8" s="5">
        <v>6</v>
      </c>
      <c r="L8" s="5"/>
    </row>
    <row r="9" spans="2:12" ht="20.399999999999999" customHeight="1" x14ac:dyDescent="0.3">
      <c r="B9" s="5">
        <v>7</v>
      </c>
      <c r="H9" s="5" t="s">
        <v>27</v>
      </c>
      <c r="J9" s="5"/>
      <c r="K9" s="5">
        <v>7</v>
      </c>
      <c r="L9" s="5"/>
    </row>
    <row r="10" spans="2:12" ht="19.8" customHeight="1" x14ac:dyDescent="0.3">
      <c r="B10" s="5">
        <v>8</v>
      </c>
      <c r="H10" s="5" t="s">
        <v>28</v>
      </c>
      <c r="J10" s="5"/>
      <c r="K10" s="5">
        <v>8</v>
      </c>
      <c r="L10" s="5"/>
    </row>
    <row r="11" spans="2:12" ht="15" customHeight="1" x14ac:dyDescent="0.3">
      <c r="B11" s="5">
        <v>9</v>
      </c>
      <c r="J11" s="5"/>
      <c r="K11" s="5">
        <v>9</v>
      </c>
      <c r="L11" s="5"/>
    </row>
    <row r="12" spans="2:12" ht="20.399999999999999" customHeight="1" x14ac:dyDescent="0.3">
      <c r="B12" s="5">
        <v>10</v>
      </c>
      <c r="H12" s="5" t="s">
        <v>32</v>
      </c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J13" s="5"/>
      <c r="K13" s="5">
        <v>11</v>
      </c>
      <c r="L13" s="5"/>
    </row>
    <row r="14" spans="2:12" x14ac:dyDescent="0.3">
      <c r="B14" s="5">
        <v>12</v>
      </c>
      <c r="J14" s="5"/>
      <c r="K14" s="5">
        <v>12</v>
      </c>
      <c r="L14" s="5"/>
    </row>
    <row r="15" spans="2:12" x14ac:dyDescent="0.3">
      <c r="B15" s="5">
        <v>13</v>
      </c>
      <c r="J15" s="5"/>
      <c r="K15" s="5">
        <v>13</v>
      </c>
      <c r="L15" s="5"/>
    </row>
    <row r="16" spans="2:12" x14ac:dyDescent="0.3">
      <c r="B16" s="5">
        <v>14</v>
      </c>
      <c r="J16" s="5"/>
      <c r="K16" s="5">
        <v>14</v>
      </c>
      <c r="L16" s="5"/>
    </row>
    <row r="17" spans="2:12" x14ac:dyDescent="0.3">
      <c r="B17" s="5">
        <v>15</v>
      </c>
      <c r="J17" s="5"/>
      <c r="K17" s="5">
        <v>15</v>
      </c>
      <c r="L17" s="5"/>
    </row>
    <row r="18" spans="2:12" x14ac:dyDescent="0.3">
      <c r="B18" s="5">
        <v>16</v>
      </c>
      <c r="J18" s="5"/>
      <c r="K18" s="5">
        <v>16</v>
      </c>
      <c r="L18" s="5"/>
    </row>
    <row r="19" spans="2:12" x14ac:dyDescent="0.3">
      <c r="B19" s="5">
        <v>17</v>
      </c>
      <c r="J19" s="5"/>
      <c r="K19" s="5">
        <v>17</v>
      </c>
      <c r="L19" s="5"/>
    </row>
    <row r="20" spans="2:12" x14ac:dyDescent="0.3">
      <c r="B20" s="5">
        <v>18</v>
      </c>
      <c r="J20" s="5"/>
      <c r="K20" s="5">
        <v>18</v>
      </c>
      <c r="L20" s="5"/>
    </row>
    <row r="21" spans="2:12" x14ac:dyDescent="0.3">
      <c r="B21" s="5">
        <v>19</v>
      </c>
      <c r="J21" s="5"/>
      <c r="K21" s="5">
        <v>19</v>
      </c>
      <c r="L21" s="5"/>
    </row>
    <row r="22" spans="2:12" x14ac:dyDescent="0.3">
      <c r="B22" s="5">
        <v>20</v>
      </c>
      <c r="J22" s="5"/>
      <c r="K22" s="5">
        <v>20</v>
      </c>
      <c r="L22" s="5"/>
    </row>
    <row r="23" spans="2:12" x14ac:dyDescent="0.3">
      <c r="B23" s="5">
        <v>21</v>
      </c>
      <c r="J23" s="5"/>
      <c r="K23" s="5" t="s">
        <v>1</v>
      </c>
      <c r="L23" s="5">
        <f>SUBTOTAL(109,MarInvoice[Amount])</f>
        <v>0</v>
      </c>
    </row>
    <row r="24" spans="2:12" x14ac:dyDescent="0.3">
      <c r="B24" s="5">
        <v>22</v>
      </c>
      <c r="J24" s="5"/>
      <c r="K24" s="5"/>
      <c r="L24" s="5"/>
    </row>
    <row r="25" spans="2:12" x14ac:dyDescent="0.3">
      <c r="B25" s="5">
        <v>23</v>
      </c>
      <c r="J25" s="5"/>
      <c r="K25" s="5"/>
      <c r="L25" s="5"/>
    </row>
    <row r="26" spans="2:12" x14ac:dyDescent="0.3">
      <c r="B26" s="5">
        <v>24</v>
      </c>
      <c r="J26" s="5"/>
      <c r="K26" s="5"/>
      <c r="L26" s="5"/>
    </row>
    <row r="27" spans="2:12" x14ac:dyDescent="0.3">
      <c r="B27" s="5">
        <v>25</v>
      </c>
      <c r="J27" s="5"/>
      <c r="K27" s="5"/>
      <c r="L27" s="5"/>
    </row>
    <row r="28" spans="2:12" x14ac:dyDescent="0.3">
      <c r="B28" s="5">
        <v>26</v>
      </c>
      <c r="J28" s="5"/>
      <c r="K28" s="5"/>
      <c r="L28" s="5"/>
    </row>
    <row r="29" spans="2:12" x14ac:dyDescent="0.3">
      <c r="B29" s="5">
        <v>27</v>
      </c>
      <c r="J29" s="5"/>
      <c r="K29" s="5"/>
      <c r="L29" s="5"/>
    </row>
    <row r="30" spans="2:12" x14ac:dyDescent="0.3">
      <c r="B30" s="5">
        <v>28</v>
      </c>
      <c r="J30" s="5"/>
      <c r="K30" s="5"/>
      <c r="L30" s="5"/>
    </row>
    <row r="31" spans="2:12" x14ac:dyDescent="0.3">
      <c r="B31" s="5">
        <v>29</v>
      </c>
      <c r="J31" s="5"/>
      <c r="K31" s="5"/>
      <c r="L31" s="5"/>
    </row>
    <row r="32" spans="2:12" x14ac:dyDescent="0.3">
      <c r="B32" s="5">
        <v>30</v>
      </c>
      <c r="J32" s="5"/>
      <c r="K32" s="5"/>
      <c r="L32" s="5"/>
    </row>
    <row r="33" spans="2:12" x14ac:dyDescent="0.3">
      <c r="B33" s="5">
        <v>31</v>
      </c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J34" s="5"/>
      <c r="K34" s="5"/>
      <c r="L34" s="5"/>
    </row>
  </sheetData>
  <phoneticPr fontId="3" type="noConversion"/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9E34-74E4-433C-8EB1-ECA77D9B4412}">
  <dimension ref="B1:L35"/>
  <sheetViews>
    <sheetView workbookViewId="0">
      <selection activeCell="H7" sqref="H7"/>
    </sheetView>
  </sheetViews>
  <sheetFormatPr defaultRowHeight="14.4" x14ac:dyDescent="0.3"/>
  <cols>
    <col min="1" max="1" width="4.33203125" customWidth="1"/>
    <col min="2" max="2" width="13.21875" customWidth="1"/>
    <col min="3" max="3" width="14.33203125" customWidth="1"/>
    <col min="4" max="4" width="11.109375" customWidth="1"/>
    <col min="6" max="6" width="14.109375" customWidth="1"/>
    <col min="7" max="7" width="5.21875" customWidth="1"/>
    <col min="8" max="8" width="17.44140625" customWidth="1"/>
    <col min="10" max="10" width="5.77734375" customWidth="1"/>
    <col min="11" max="11" width="28.21875" customWidth="1"/>
  </cols>
  <sheetData>
    <row r="1" spans="2:12" x14ac:dyDescent="0.3">
      <c r="B1" s="5"/>
    </row>
    <row r="2" spans="2:12" ht="27.6" customHeight="1" x14ac:dyDescent="0.3">
      <c r="B2" s="5" t="s">
        <v>44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45</v>
      </c>
      <c r="I2" s="5" t="s">
        <v>37</v>
      </c>
      <c r="K2" s="5" t="s">
        <v>38</v>
      </c>
      <c r="L2" s="5" t="s">
        <v>37</v>
      </c>
    </row>
    <row r="3" spans="2:12" x14ac:dyDescent="0.3">
      <c r="B3" s="5">
        <v>1</v>
      </c>
      <c r="C3" s="5"/>
      <c r="D3" s="5"/>
      <c r="E3" s="5"/>
      <c r="F3" s="5"/>
      <c r="H3" s="5" t="s">
        <v>22</v>
      </c>
      <c r="K3" s="25" t="s">
        <v>68</v>
      </c>
      <c r="L3" s="5"/>
    </row>
    <row r="4" spans="2:12" x14ac:dyDescent="0.3">
      <c r="B4" s="5">
        <v>2</v>
      </c>
      <c r="C4" s="5"/>
      <c r="D4" s="5"/>
      <c r="E4" s="5"/>
      <c r="F4" s="5"/>
      <c r="H4" s="5" t="s">
        <v>29</v>
      </c>
      <c r="K4" s="25" t="s">
        <v>69</v>
      </c>
      <c r="L4" s="5"/>
    </row>
    <row r="5" spans="2:12" ht="16.2" customHeight="1" x14ac:dyDescent="0.3">
      <c r="B5" s="5">
        <v>3</v>
      </c>
      <c r="C5" s="5"/>
      <c r="D5" s="5"/>
      <c r="E5" s="5"/>
      <c r="F5" s="5"/>
      <c r="H5" s="5" t="s">
        <v>30</v>
      </c>
      <c r="K5" s="25" t="s">
        <v>70</v>
      </c>
      <c r="L5" s="5"/>
    </row>
    <row r="6" spans="2:12" ht="28.8" x14ac:dyDescent="0.3">
      <c r="B6" s="5">
        <v>4</v>
      </c>
      <c r="C6" s="5"/>
      <c r="D6" s="5"/>
      <c r="E6" s="5"/>
      <c r="F6" s="5"/>
      <c r="H6" s="5" t="s">
        <v>31</v>
      </c>
      <c r="K6" s="25" t="s">
        <v>71</v>
      </c>
      <c r="L6" s="5"/>
    </row>
    <row r="7" spans="2:12" x14ac:dyDescent="0.3">
      <c r="B7" s="5">
        <v>5</v>
      </c>
      <c r="C7" s="5"/>
      <c r="D7" s="5"/>
      <c r="E7" s="5"/>
      <c r="F7" s="5"/>
      <c r="H7" s="5" t="s">
        <v>73</v>
      </c>
      <c r="K7" s="5">
        <v>5</v>
      </c>
      <c r="L7" s="5"/>
    </row>
    <row r="8" spans="2:12" x14ac:dyDescent="0.3">
      <c r="B8" s="5">
        <v>6</v>
      </c>
      <c r="C8" s="5"/>
      <c r="D8" s="5"/>
      <c r="E8" s="5"/>
      <c r="F8" s="5"/>
      <c r="H8" s="5" t="s">
        <v>26</v>
      </c>
      <c r="K8" s="5">
        <v>6</v>
      </c>
      <c r="L8" s="5"/>
    </row>
    <row r="9" spans="2:12" ht="17.399999999999999" customHeight="1" x14ac:dyDescent="0.3">
      <c r="B9" s="5">
        <v>7</v>
      </c>
      <c r="C9" s="5"/>
      <c r="D9" s="5"/>
      <c r="E9" s="5"/>
      <c r="F9" s="5"/>
      <c r="H9" s="5" t="s">
        <v>27</v>
      </c>
      <c r="K9" s="5">
        <v>7</v>
      </c>
      <c r="L9" s="5"/>
    </row>
    <row r="10" spans="2:12" ht="21" customHeight="1" x14ac:dyDescent="0.3">
      <c r="B10" s="5">
        <v>8</v>
      </c>
      <c r="C10" s="5"/>
      <c r="D10" s="5"/>
      <c r="E10" s="5"/>
      <c r="F10" s="5"/>
      <c r="H10" s="5" t="s">
        <v>28</v>
      </c>
      <c r="K10" s="5">
        <v>8</v>
      </c>
      <c r="L10" s="5"/>
    </row>
    <row r="11" spans="2:12" x14ac:dyDescent="0.3">
      <c r="B11" s="5">
        <v>9</v>
      </c>
      <c r="C11" s="5"/>
      <c r="D11" s="5"/>
      <c r="E11" s="5"/>
      <c r="F11" s="5"/>
      <c r="K11" s="5">
        <v>9</v>
      </c>
    </row>
    <row r="12" spans="2:12" ht="19.2" customHeight="1" x14ac:dyDescent="0.3">
      <c r="B12" s="5">
        <v>10</v>
      </c>
      <c r="C12" s="5"/>
      <c r="D12" s="5"/>
      <c r="E12" s="5"/>
      <c r="F12" s="5"/>
      <c r="H12" s="5" t="s">
        <v>32</v>
      </c>
      <c r="K12" s="5">
        <v>10</v>
      </c>
    </row>
    <row r="13" spans="2:12" x14ac:dyDescent="0.3">
      <c r="B13" s="5">
        <v>11</v>
      </c>
      <c r="C13" s="5"/>
      <c r="D13" s="5"/>
      <c r="E13" s="5"/>
      <c r="F13" s="5"/>
      <c r="H13" s="7">
        <f>SUM(I4:I5)</f>
        <v>0</v>
      </c>
      <c r="K13" s="5">
        <v>11</v>
      </c>
    </row>
    <row r="14" spans="2:12" x14ac:dyDescent="0.3">
      <c r="B14" s="5">
        <v>12</v>
      </c>
      <c r="C14" s="5"/>
      <c r="D14" s="5"/>
      <c r="E14" s="5"/>
      <c r="F14" s="5"/>
      <c r="K14" s="5">
        <v>12</v>
      </c>
    </row>
    <row r="15" spans="2:12" x14ac:dyDescent="0.3">
      <c r="B15" s="5">
        <v>13</v>
      </c>
      <c r="C15" s="5"/>
      <c r="D15" s="5"/>
      <c r="E15" s="5"/>
      <c r="F15" s="5"/>
      <c r="K15" s="5">
        <v>13</v>
      </c>
    </row>
    <row r="16" spans="2:12" x14ac:dyDescent="0.3">
      <c r="B16" s="5">
        <v>14</v>
      </c>
      <c r="C16" s="5"/>
      <c r="D16" s="5"/>
      <c r="E16" s="5"/>
      <c r="F16" s="5"/>
      <c r="K16" s="5">
        <v>14</v>
      </c>
    </row>
    <row r="17" spans="2:12" x14ac:dyDescent="0.3">
      <c r="B17" s="5">
        <v>15</v>
      </c>
      <c r="C17" s="5"/>
      <c r="D17" s="5"/>
      <c r="E17" s="5"/>
      <c r="F17" s="5"/>
      <c r="K17" s="5">
        <v>15</v>
      </c>
    </row>
    <row r="18" spans="2:12" x14ac:dyDescent="0.3">
      <c r="B18" s="5">
        <v>16</v>
      </c>
      <c r="C18" s="5"/>
      <c r="D18" s="5"/>
      <c r="E18" s="5"/>
      <c r="F18" s="5"/>
      <c r="K18" s="5">
        <v>16</v>
      </c>
    </row>
    <row r="19" spans="2:12" x14ac:dyDescent="0.3">
      <c r="B19" s="5">
        <v>17</v>
      </c>
      <c r="C19" s="5"/>
      <c r="D19" s="5"/>
      <c r="E19" s="5"/>
      <c r="F19" s="5"/>
      <c r="K19" s="5">
        <v>17</v>
      </c>
    </row>
    <row r="20" spans="2:12" x14ac:dyDescent="0.3">
      <c r="B20" s="5">
        <v>18</v>
      </c>
      <c r="C20" s="5"/>
      <c r="D20" s="5"/>
      <c r="E20" s="5"/>
      <c r="F20" s="5"/>
      <c r="K20" s="5">
        <v>18</v>
      </c>
    </row>
    <row r="21" spans="2:12" x14ac:dyDescent="0.3">
      <c r="B21" s="5">
        <v>19</v>
      </c>
      <c r="C21" s="5"/>
      <c r="D21" s="5"/>
      <c r="E21" s="5"/>
      <c r="F21" s="5"/>
      <c r="K21" s="5">
        <v>19</v>
      </c>
    </row>
    <row r="22" spans="2:12" x14ac:dyDescent="0.3">
      <c r="B22" s="5">
        <v>20</v>
      </c>
      <c r="C22" s="5"/>
      <c r="D22" s="5"/>
      <c r="E22" s="5"/>
      <c r="F22" s="5"/>
      <c r="K22" s="5">
        <v>20</v>
      </c>
    </row>
    <row r="23" spans="2:12" x14ac:dyDescent="0.3">
      <c r="B23" s="5">
        <v>21</v>
      </c>
      <c r="C23" s="5"/>
      <c r="D23" s="5"/>
      <c r="E23" s="5"/>
      <c r="F23" s="5"/>
      <c r="K23" s="5" t="s">
        <v>1</v>
      </c>
      <c r="L23">
        <f>SUBTOTAL(109,AprInvoice[Amount])</f>
        <v>0</v>
      </c>
    </row>
    <row r="24" spans="2:12" x14ac:dyDescent="0.3">
      <c r="B24" s="5">
        <v>22</v>
      </c>
      <c r="C24" s="5"/>
      <c r="D24" s="5"/>
      <c r="E24" s="5"/>
      <c r="F24" s="5"/>
    </row>
    <row r="25" spans="2:12" x14ac:dyDescent="0.3">
      <c r="B25" s="5">
        <v>23</v>
      </c>
      <c r="C25" s="5"/>
      <c r="D25" s="5"/>
      <c r="E25" s="5"/>
      <c r="F25" s="5"/>
    </row>
    <row r="26" spans="2:12" x14ac:dyDescent="0.3">
      <c r="B26" s="5">
        <v>24</v>
      </c>
      <c r="C26" s="5"/>
      <c r="D26" s="5"/>
      <c r="E26" s="5"/>
      <c r="F26" s="5"/>
    </row>
    <row r="27" spans="2:12" x14ac:dyDescent="0.3">
      <c r="B27" s="5">
        <v>25</v>
      </c>
      <c r="C27" s="5"/>
      <c r="D27" s="5"/>
      <c r="E27" s="5"/>
      <c r="F27" s="5"/>
    </row>
    <row r="28" spans="2:12" x14ac:dyDescent="0.3">
      <c r="B28" s="5">
        <v>26</v>
      </c>
      <c r="C28" s="5"/>
      <c r="D28" s="5"/>
      <c r="E28" s="5"/>
      <c r="F28" s="5"/>
    </row>
    <row r="29" spans="2:12" x14ac:dyDescent="0.3">
      <c r="B29" s="5">
        <v>27</v>
      </c>
      <c r="C29" s="5"/>
      <c r="D29" s="5"/>
      <c r="E29" s="5"/>
      <c r="F29" s="5"/>
    </row>
    <row r="30" spans="2:12" x14ac:dyDescent="0.3">
      <c r="B30" s="5">
        <v>28</v>
      </c>
      <c r="C30" s="5"/>
      <c r="D30" s="5"/>
      <c r="E30" s="5"/>
      <c r="F30" s="5"/>
    </row>
    <row r="31" spans="2:12" x14ac:dyDescent="0.3">
      <c r="B31" s="5">
        <v>29</v>
      </c>
      <c r="C31" s="5"/>
      <c r="D31" s="5"/>
      <c r="E31" s="5"/>
      <c r="F31" s="5"/>
    </row>
    <row r="32" spans="2:12" x14ac:dyDescent="0.3">
      <c r="B32" s="5">
        <v>30</v>
      </c>
      <c r="C32" s="5"/>
      <c r="D32" s="5"/>
      <c r="E32" s="5"/>
      <c r="F32" s="5"/>
    </row>
    <row r="33" spans="2:6" x14ac:dyDescent="0.3">
      <c r="B33" s="5">
        <v>31</v>
      </c>
      <c r="C33" s="5"/>
      <c r="D33" s="5"/>
      <c r="E33" s="5"/>
      <c r="F33" s="5"/>
    </row>
    <row r="34" spans="2:6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</row>
    <row r="35" spans="2:6" x14ac:dyDescent="0.3">
      <c r="B35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19A8-3887-444C-808D-AAFA5D637B9A}">
  <dimension ref="B2:L34"/>
  <sheetViews>
    <sheetView workbookViewId="0">
      <selection activeCell="H7" sqref="H7"/>
    </sheetView>
  </sheetViews>
  <sheetFormatPr defaultRowHeight="14.4" x14ac:dyDescent="0.3"/>
  <cols>
    <col min="1" max="1" width="3.5546875" customWidth="1"/>
    <col min="2" max="2" width="8.88671875" style="5"/>
    <col min="3" max="4" width="11.77734375" style="5" customWidth="1"/>
    <col min="5" max="5" width="8.88671875" style="5"/>
    <col min="6" max="6" width="13.21875" style="5" customWidth="1"/>
    <col min="7" max="7" width="5.6640625" style="5" customWidth="1"/>
    <col min="8" max="8" width="18.21875" style="5" customWidth="1"/>
    <col min="10" max="10" width="6.88671875" customWidth="1"/>
    <col min="11" max="11" width="31.109375" customWidth="1"/>
  </cols>
  <sheetData>
    <row r="2" spans="2:12" ht="28.8" x14ac:dyDescent="0.3">
      <c r="B2" s="5" t="s">
        <v>46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47</v>
      </c>
      <c r="I2" s="5" t="s">
        <v>37</v>
      </c>
      <c r="J2" s="5"/>
      <c r="K2" s="5" t="s">
        <v>48</v>
      </c>
      <c r="L2" s="5" t="s">
        <v>37</v>
      </c>
    </row>
    <row r="3" spans="2:12" x14ac:dyDescent="0.3">
      <c r="B3" s="5">
        <v>1</v>
      </c>
      <c r="H3" s="5" t="s">
        <v>22</v>
      </c>
      <c r="I3" s="5"/>
      <c r="J3" s="5"/>
      <c r="K3" s="25" t="s">
        <v>68</v>
      </c>
      <c r="L3" s="5"/>
    </row>
    <row r="4" spans="2:12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17.399999999999999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18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I11" s="5"/>
      <c r="J11" s="5"/>
      <c r="K11" s="5">
        <v>9</v>
      </c>
      <c r="L11" s="5"/>
    </row>
    <row r="12" spans="2:12" ht="19.8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I14" s="5"/>
      <c r="J14" s="5"/>
      <c r="K14" s="5">
        <v>12</v>
      </c>
      <c r="L14" s="5"/>
    </row>
    <row r="15" spans="2:12" x14ac:dyDescent="0.3">
      <c r="B15" s="5">
        <v>13</v>
      </c>
      <c r="I15" s="5"/>
      <c r="J15" s="5"/>
      <c r="K15" s="5">
        <v>13</v>
      </c>
      <c r="L15" s="5"/>
    </row>
    <row r="16" spans="2:12" x14ac:dyDescent="0.3">
      <c r="B16" s="5">
        <v>14</v>
      </c>
      <c r="I16" s="5"/>
      <c r="J16" s="5"/>
      <c r="K16" s="5">
        <v>14</v>
      </c>
      <c r="L16" s="5"/>
    </row>
    <row r="17" spans="2:12" x14ac:dyDescent="0.3">
      <c r="B17" s="5">
        <v>15</v>
      </c>
      <c r="I17" s="5"/>
      <c r="J17" s="5"/>
      <c r="K17" s="5">
        <v>15</v>
      </c>
      <c r="L17" s="5"/>
    </row>
    <row r="18" spans="2:12" x14ac:dyDescent="0.3">
      <c r="B18" s="5">
        <v>16</v>
      </c>
      <c r="I18" s="5"/>
      <c r="J18" s="5"/>
      <c r="K18" s="5">
        <v>16</v>
      </c>
      <c r="L18" s="5"/>
    </row>
    <row r="19" spans="2:12" x14ac:dyDescent="0.3">
      <c r="B19" s="5">
        <v>17</v>
      </c>
      <c r="I19" s="5"/>
      <c r="J19" s="5"/>
      <c r="K19" s="5">
        <v>17</v>
      </c>
      <c r="L19" s="5"/>
    </row>
    <row r="20" spans="2:12" x14ac:dyDescent="0.3">
      <c r="B20" s="5">
        <v>18</v>
      </c>
      <c r="I20" s="5"/>
      <c r="J20" s="5"/>
      <c r="K20" s="5">
        <v>18</v>
      </c>
      <c r="L20" s="5"/>
    </row>
    <row r="21" spans="2:12" x14ac:dyDescent="0.3">
      <c r="B21" s="5">
        <v>19</v>
      </c>
      <c r="I21" s="5"/>
      <c r="J21" s="5"/>
      <c r="K21" s="5">
        <v>19</v>
      </c>
      <c r="L21" s="5"/>
    </row>
    <row r="22" spans="2:12" x14ac:dyDescent="0.3">
      <c r="B22" s="5">
        <v>20</v>
      </c>
      <c r="I22" s="5"/>
      <c r="J22" s="5"/>
      <c r="K22" s="5">
        <v>20</v>
      </c>
      <c r="L22" s="5"/>
    </row>
    <row r="23" spans="2:12" x14ac:dyDescent="0.3">
      <c r="B23" s="5">
        <v>21</v>
      </c>
      <c r="I23" s="5"/>
      <c r="J23" s="5"/>
      <c r="K23" s="5" t="s">
        <v>1</v>
      </c>
      <c r="L23" s="5">
        <f>SUBTOTAL(109,MayInvoice[Amount])</f>
        <v>0</v>
      </c>
    </row>
    <row r="24" spans="2:12" x14ac:dyDescent="0.3">
      <c r="B24" s="5">
        <v>22</v>
      </c>
      <c r="I24" s="5"/>
      <c r="J24" s="5"/>
      <c r="K24" s="5"/>
      <c r="L24" s="5"/>
    </row>
    <row r="25" spans="2:12" x14ac:dyDescent="0.3">
      <c r="B25" s="5">
        <v>23</v>
      </c>
      <c r="I25" s="5"/>
      <c r="J25" s="5"/>
      <c r="K25" s="5"/>
      <c r="L25" s="5"/>
    </row>
    <row r="26" spans="2:12" x14ac:dyDescent="0.3">
      <c r="B26" s="5">
        <v>24</v>
      </c>
      <c r="I26" s="5"/>
      <c r="J26" s="5"/>
      <c r="K26" s="5"/>
      <c r="L26" s="5"/>
    </row>
    <row r="27" spans="2:12" x14ac:dyDescent="0.3">
      <c r="B27" s="5">
        <v>25</v>
      </c>
      <c r="I27" s="5"/>
      <c r="J27" s="5"/>
      <c r="K27" s="5"/>
      <c r="L27" s="5"/>
    </row>
    <row r="28" spans="2:12" x14ac:dyDescent="0.3">
      <c r="B28" s="5">
        <v>26</v>
      </c>
      <c r="I28" s="5"/>
      <c r="J28" s="5"/>
      <c r="K28" s="5"/>
      <c r="L28" s="5"/>
    </row>
    <row r="29" spans="2:12" x14ac:dyDescent="0.3">
      <c r="B29" s="5">
        <v>27</v>
      </c>
      <c r="I29" s="5"/>
      <c r="J29" s="5"/>
      <c r="K29" s="5"/>
      <c r="L29" s="5"/>
    </row>
    <row r="30" spans="2:12" x14ac:dyDescent="0.3">
      <c r="B30" s="5">
        <v>28</v>
      </c>
      <c r="I30" s="5"/>
      <c r="J30" s="5"/>
      <c r="K30" s="5"/>
      <c r="L30" s="5"/>
    </row>
    <row r="31" spans="2:12" x14ac:dyDescent="0.3">
      <c r="B31" s="5">
        <v>29</v>
      </c>
      <c r="I31" s="5"/>
      <c r="J31" s="5"/>
      <c r="K31" s="5"/>
      <c r="L31" s="5"/>
    </row>
    <row r="32" spans="2:12" x14ac:dyDescent="0.3">
      <c r="B32" s="5">
        <v>30</v>
      </c>
      <c r="I32" s="5"/>
      <c r="J32" s="5"/>
      <c r="K32" s="5"/>
      <c r="L32" s="5"/>
    </row>
    <row r="33" spans="2:12" x14ac:dyDescent="0.3">
      <c r="B33" s="5">
        <v>31</v>
      </c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16111-4D74-4C76-9402-A68FEE344073}">
  <dimension ref="B2:L34"/>
  <sheetViews>
    <sheetView workbookViewId="0">
      <selection activeCell="H7" sqref="H7"/>
    </sheetView>
  </sheetViews>
  <sheetFormatPr defaultRowHeight="14.4" x14ac:dyDescent="0.3"/>
  <cols>
    <col min="1" max="1" width="3.44140625" customWidth="1"/>
    <col min="2" max="2" width="13.109375" style="5" customWidth="1"/>
    <col min="3" max="3" width="16.109375" style="5" customWidth="1"/>
    <col min="4" max="4" width="14.33203125" style="5" customWidth="1"/>
    <col min="5" max="5" width="11.44140625" style="5" customWidth="1"/>
    <col min="6" max="6" width="11.77734375" style="5" customWidth="1"/>
    <col min="7" max="7" width="6" style="5" customWidth="1"/>
    <col min="8" max="8" width="17.21875" style="5" customWidth="1"/>
    <col min="10" max="10" width="6" customWidth="1"/>
    <col min="11" max="11" width="33.88671875" customWidth="1"/>
  </cols>
  <sheetData>
    <row r="2" spans="2:12" ht="31.2" customHeight="1" x14ac:dyDescent="0.3">
      <c r="B2" s="5" t="s">
        <v>49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50</v>
      </c>
      <c r="I2" s="5" t="s">
        <v>37</v>
      </c>
      <c r="J2" s="5"/>
      <c r="K2" s="5" t="s">
        <v>38</v>
      </c>
      <c r="L2" s="5" t="s">
        <v>37</v>
      </c>
    </row>
    <row r="3" spans="2:12" x14ac:dyDescent="0.3">
      <c r="B3" s="5">
        <v>1</v>
      </c>
      <c r="H3" s="5" t="s">
        <v>22</v>
      </c>
      <c r="I3" s="5"/>
      <c r="J3" s="5"/>
      <c r="K3" s="25" t="s">
        <v>68</v>
      </c>
      <c r="L3" s="5"/>
    </row>
    <row r="4" spans="2:12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19.8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ht="19.2" customHeight="1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19.2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I11" s="5"/>
      <c r="J11" s="5"/>
      <c r="K11" s="5">
        <v>9</v>
      </c>
      <c r="L11" s="5"/>
    </row>
    <row r="12" spans="2:12" ht="18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I14" s="5"/>
      <c r="J14" s="5"/>
      <c r="K14" s="5">
        <v>12</v>
      </c>
      <c r="L14" s="5"/>
    </row>
    <row r="15" spans="2:12" x14ac:dyDescent="0.3">
      <c r="B15" s="5">
        <v>13</v>
      </c>
      <c r="I15" s="5"/>
      <c r="J15" s="5"/>
      <c r="K15" s="5">
        <v>13</v>
      </c>
      <c r="L15" s="5"/>
    </row>
    <row r="16" spans="2:12" x14ac:dyDescent="0.3">
      <c r="B16" s="5">
        <v>14</v>
      </c>
      <c r="I16" s="5"/>
      <c r="J16" s="5"/>
      <c r="K16" s="5">
        <v>14</v>
      </c>
      <c r="L16" s="5"/>
    </row>
    <row r="17" spans="2:12" x14ac:dyDescent="0.3">
      <c r="B17" s="5">
        <v>15</v>
      </c>
      <c r="I17" s="5"/>
      <c r="J17" s="5"/>
      <c r="K17" s="5">
        <v>15</v>
      </c>
      <c r="L17" s="5"/>
    </row>
    <row r="18" spans="2:12" x14ac:dyDescent="0.3">
      <c r="B18" s="5">
        <v>16</v>
      </c>
      <c r="I18" s="5"/>
      <c r="J18" s="5"/>
      <c r="K18" s="5">
        <v>16</v>
      </c>
      <c r="L18" s="5"/>
    </row>
    <row r="19" spans="2:12" x14ac:dyDescent="0.3">
      <c r="B19" s="5">
        <v>17</v>
      </c>
      <c r="I19" s="5"/>
      <c r="J19" s="5"/>
      <c r="K19" s="5">
        <v>17</v>
      </c>
      <c r="L19" s="5"/>
    </row>
    <row r="20" spans="2:12" x14ac:dyDescent="0.3">
      <c r="B20" s="5">
        <v>18</v>
      </c>
      <c r="I20" s="5"/>
      <c r="J20" s="5"/>
      <c r="K20" s="5">
        <v>18</v>
      </c>
      <c r="L20" s="5"/>
    </row>
    <row r="21" spans="2:12" x14ac:dyDescent="0.3">
      <c r="B21" s="5">
        <v>19</v>
      </c>
      <c r="I21" s="5"/>
      <c r="J21" s="5"/>
      <c r="K21" s="5">
        <v>19</v>
      </c>
      <c r="L21" s="5"/>
    </row>
    <row r="22" spans="2:12" x14ac:dyDescent="0.3">
      <c r="B22" s="5">
        <v>20</v>
      </c>
      <c r="I22" s="5"/>
      <c r="J22" s="5"/>
      <c r="K22" s="5">
        <v>20</v>
      </c>
      <c r="L22" s="5"/>
    </row>
    <row r="23" spans="2:12" x14ac:dyDescent="0.3">
      <c r="B23" s="5">
        <v>21</v>
      </c>
      <c r="I23" s="5"/>
      <c r="J23" s="5"/>
      <c r="K23" s="5" t="s">
        <v>1</v>
      </c>
      <c r="L23" s="5">
        <f>SUBTOTAL(109,JunInvoice[Amount])</f>
        <v>0</v>
      </c>
    </row>
    <row r="24" spans="2:12" x14ac:dyDescent="0.3">
      <c r="B24" s="5">
        <v>22</v>
      </c>
      <c r="I24" s="5"/>
      <c r="J24" s="5"/>
      <c r="K24" s="5"/>
      <c r="L24" s="5"/>
    </row>
    <row r="25" spans="2:12" x14ac:dyDescent="0.3">
      <c r="B25" s="5">
        <v>23</v>
      </c>
      <c r="I25" s="5"/>
      <c r="J25" s="5"/>
      <c r="K25" s="5"/>
      <c r="L25" s="5"/>
    </row>
    <row r="26" spans="2:12" x14ac:dyDescent="0.3">
      <c r="B26" s="5">
        <v>24</v>
      </c>
      <c r="I26" s="5"/>
      <c r="J26" s="5"/>
      <c r="K26" s="5"/>
      <c r="L26" s="5"/>
    </row>
    <row r="27" spans="2:12" x14ac:dyDescent="0.3">
      <c r="B27" s="5">
        <v>25</v>
      </c>
      <c r="I27" s="5"/>
      <c r="J27" s="5"/>
      <c r="K27" s="5"/>
      <c r="L27" s="5"/>
    </row>
    <row r="28" spans="2:12" x14ac:dyDescent="0.3">
      <c r="B28" s="5">
        <v>26</v>
      </c>
      <c r="I28" s="5"/>
      <c r="J28" s="5"/>
      <c r="K28" s="5"/>
      <c r="L28" s="5"/>
    </row>
    <row r="29" spans="2:12" x14ac:dyDescent="0.3">
      <c r="B29" s="5">
        <v>27</v>
      </c>
      <c r="I29" s="5"/>
      <c r="J29" s="5"/>
      <c r="K29" s="5"/>
      <c r="L29" s="5"/>
    </row>
    <row r="30" spans="2:12" x14ac:dyDescent="0.3">
      <c r="B30" s="5">
        <v>28</v>
      </c>
      <c r="I30" s="5"/>
      <c r="J30" s="5"/>
      <c r="K30" s="5"/>
      <c r="L30" s="5"/>
    </row>
    <row r="31" spans="2:12" x14ac:dyDescent="0.3">
      <c r="B31" s="5">
        <v>29</v>
      </c>
      <c r="I31" s="5"/>
      <c r="J31" s="5"/>
      <c r="K31" s="5"/>
      <c r="L31" s="5"/>
    </row>
    <row r="32" spans="2:12" x14ac:dyDescent="0.3">
      <c r="B32" s="5">
        <v>30</v>
      </c>
      <c r="I32" s="5"/>
      <c r="J32" s="5"/>
      <c r="K32" s="5"/>
      <c r="L32" s="5"/>
    </row>
    <row r="33" spans="2:12" x14ac:dyDescent="0.3">
      <c r="B33" s="5">
        <v>31</v>
      </c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9148-C73F-4D79-9A5C-C3056ED8F972}">
  <dimension ref="B2:L34"/>
  <sheetViews>
    <sheetView workbookViewId="0">
      <selection activeCell="H7" sqref="H7"/>
    </sheetView>
  </sheetViews>
  <sheetFormatPr defaultRowHeight="14.4" x14ac:dyDescent="0.3"/>
  <cols>
    <col min="1" max="1" width="4.5546875" customWidth="1"/>
    <col min="2" max="2" width="13.88671875" style="5" customWidth="1"/>
    <col min="3" max="4" width="13.77734375" style="5" customWidth="1"/>
    <col min="5" max="5" width="8.88671875" style="5"/>
    <col min="6" max="6" width="11.88671875" style="5" customWidth="1"/>
    <col min="7" max="7" width="4.109375" style="5" customWidth="1"/>
    <col min="8" max="8" width="18.109375" customWidth="1"/>
    <col min="10" max="10" width="5.109375" customWidth="1"/>
    <col min="11" max="11" width="28.88671875" customWidth="1"/>
  </cols>
  <sheetData>
    <row r="2" spans="2:12" ht="31.8" customHeight="1" x14ac:dyDescent="0.3">
      <c r="B2" s="5" t="s">
        <v>51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52</v>
      </c>
      <c r="I2" s="5" t="s">
        <v>37</v>
      </c>
      <c r="J2" s="5"/>
      <c r="K2" s="5" t="s">
        <v>38</v>
      </c>
      <c r="L2" s="5" t="s">
        <v>37</v>
      </c>
    </row>
    <row r="3" spans="2:12" x14ac:dyDescent="0.3">
      <c r="B3" s="5">
        <v>7</v>
      </c>
      <c r="H3" s="5" t="s">
        <v>22</v>
      </c>
      <c r="I3" s="5"/>
      <c r="J3" s="5"/>
      <c r="K3" s="25" t="s">
        <v>68</v>
      </c>
      <c r="L3" s="5"/>
    </row>
    <row r="4" spans="2:12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16.8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ht="18" customHeight="1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22.2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H11" s="5"/>
      <c r="I11" s="5"/>
      <c r="J11" s="5"/>
      <c r="K11" s="5">
        <v>9</v>
      </c>
      <c r="L11" s="5"/>
    </row>
    <row r="12" spans="2:12" ht="18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H14" s="5"/>
      <c r="I14" s="5"/>
      <c r="J14" s="5"/>
      <c r="K14" s="5">
        <v>12</v>
      </c>
      <c r="L14" s="5"/>
    </row>
    <row r="15" spans="2:12" x14ac:dyDescent="0.3">
      <c r="B15" s="5">
        <v>13</v>
      </c>
      <c r="H15" s="5"/>
      <c r="I15" s="5"/>
      <c r="J15" s="5"/>
      <c r="K15" s="5">
        <v>13</v>
      </c>
      <c r="L15" s="5"/>
    </row>
    <row r="16" spans="2:12" x14ac:dyDescent="0.3">
      <c r="B16" s="5">
        <v>14</v>
      </c>
      <c r="H16" s="5"/>
      <c r="I16" s="5"/>
      <c r="J16" s="5"/>
      <c r="K16" s="5">
        <v>14</v>
      </c>
      <c r="L16" s="5"/>
    </row>
    <row r="17" spans="2:12" x14ac:dyDescent="0.3">
      <c r="B17" s="5">
        <v>15</v>
      </c>
      <c r="H17" s="5"/>
      <c r="I17" s="5"/>
      <c r="J17" s="5"/>
      <c r="K17" s="5">
        <v>15</v>
      </c>
      <c r="L17" s="5"/>
    </row>
    <row r="18" spans="2:12" x14ac:dyDescent="0.3">
      <c r="B18" s="5">
        <v>16</v>
      </c>
      <c r="H18" s="5"/>
      <c r="I18" s="5"/>
      <c r="J18" s="5"/>
      <c r="K18" s="5">
        <v>16</v>
      </c>
      <c r="L18" s="5"/>
    </row>
    <row r="19" spans="2:12" x14ac:dyDescent="0.3">
      <c r="B19" s="5">
        <v>17</v>
      </c>
      <c r="H19" s="5"/>
      <c r="I19" s="5"/>
      <c r="J19" s="5"/>
      <c r="K19" s="5">
        <v>17</v>
      </c>
      <c r="L19" s="5"/>
    </row>
    <row r="20" spans="2:12" x14ac:dyDescent="0.3">
      <c r="B20" s="5">
        <v>18</v>
      </c>
      <c r="H20" s="5"/>
      <c r="I20" s="5"/>
      <c r="J20" s="5"/>
      <c r="K20" s="5">
        <v>18</v>
      </c>
      <c r="L20" s="5"/>
    </row>
    <row r="21" spans="2:12" x14ac:dyDescent="0.3">
      <c r="B21" s="5">
        <v>19</v>
      </c>
      <c r="H21" s="5"/>
      <c r="I21" s="5"/>
      <c r="J21" s="5"/>
      <c r="K21" s="5">
        <v>19</v>
      </c>
      <c r="L21" s="5"/>
    </row>
    <row r="22" spans="2:12" x14ac:dyDescent="0.3">
      <c r="B22" s="5">
        <v>20</v>
      </c>
      <c r="H22" s="5"/>
      <c r="I22" s="5"/>
      <c r="J22" s="5"/>
      <c r="K22" s="5">
        <v>20</v>
      </c>
      <c r="L22" s="5"/>
    </row>
    <row r="23" spans="2:12" x14ac:dyDescent="0.3">
      <c r="B23" s="5">
        <v>21</v>
      </c>
      <c r="H23" s="5"/>
      <c r="I23" s="5"/>
      <c r="J23" s="5"/>
      <c r="K23" s="5" t="s">
        <v>1</v>
      </c>
      <c r="L23" s="5">
        <f>SUBTOTAL(109,JulInvoice[Amount])</f>
        <v>0</v>
      </c>
    </row>
    <row r="24" spans="2:12" x14ac:dyDescent="0.3">
      <c r="B24" s="5">
        <v>22</v>
      </c>
      <c r="H24" s="5"/>
      <c r="I24" s="5"/>
      <c r="J24" s="5"/>
      <c r="K24" s="5"/>
      <c r="L24" s="5"/>
    </row>
    <row r="25" spans="2:12" x14ac:dyDescent="0.3">
      <c r="B25" s="5">
        <v>23</v>
      </c>
      <c r="H25" s="5"/>
      <c r="I25" s="5"/>
      <c r="J25" s="5"/>
      <c r="K25" s="5"/>
      <c r="L25" s="5"/>
    </row>
    <row r="26" spans="2:12" x14ac:dyDescent="0.3">
      <c r="B26" s="5">
        <v>24</v>
      </c>
      <c r="H26" s="5"/>
      <c r="I26" s="5"/>
      <c r="J26" s="5"/>
      <c r="K26" s="5"/>
      <c r="L26" s="5"/>
    </row>
    <row r="27" spans="2:12" x14ac:dyDescent="0.3">
      <c r="B27" s="5">
        <v>25</v>
      </c>
      <c r="H27" s="5"/>
      <c r="I27" s="5"/>
      <c r="J27" s="5"/>
      <c r="K27" s="5"/>
      <c r="L27" s="5"/>
    </row>
    <row r="28" spans="2:12" x14ac:dyDescent="0.3">
      <c r="B28" s="5">
        <v>26</v>
      </c>
      <c r="H28" s="5"/>
      <c r="I28" s="5"/>
      <c r="J28" s="5"/>
      <c r="K28" s="5"/>
      <c r="L28" s="5"/>
    </row>
    <row r="29" spans="2:12" x14ac:dyDescent="0.3">
      <c r="B29" s="5">
        <v>27</v>
      </c>
      <c r="H29" s="5"/>
      <c r="I29" s="5"/>
      <c r="J29" s="5"/>
      <c r="K29" s="5"/>
      <c r="L29" s="5"/>
    </row>
    <row r="30" spans="2:12" x14ac:dyDescent="0.3">
      <c r="B30" s="5">
        <v>28</v>
      </c>
      <c r="H30" s="5"/>
      <c r="I30" s="5"/>
      <c r="J30" s="5"/>
      <c r="K30" s="5"/>
      <c r="L30" s="5"/>
    </row>
    <row r="31" spans="2:12" x14ac:dyDescent="0.3">
      <c r="B31" s="5">
        <v>29</v>
      </c>
      <c r="H31" s="5"/>
      <c r="I31" s="5"/>
      <c r="J31" s="5"/>
      <c r="K31" s="5"/>
      <c r="L31" s="5"/>
    </row>
    <row r="32" spans="2:12" x14ac:dyDescent="0.3">
      <c r="B32" s="5">
        <v>30</v>
      </c>
      <c r="H32" s="5"/>
      <c r="I32" s="5"/>
      <c r="J32" s="5"/>
      <c r="K32" s="5"/>
      <c r="L32" s="5"/>
    </row>
    <row r="33" spans="2:12" x14ac:dyDescent="0.3">
      <c r="B33" s="5">
        <v>31</v>
      </c>
      <c r="H33" s="5"/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H34" s="5"/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7B5E-3BAA-42DD-BF77-769C0E3B31E8}">
  <dimension ref="B2:L34"/>
  <sheetViews>
    <sheetView workbookViewId="0">
      <selection activeCell="H25" sqref="H25"/>
    </sheetView>
  </sheetViews>
  <sheetFormatPr defaultRowHeight="14.4" x14ac:dyDescent="0.3"/>
  <cols>
    <col min="1" max="1" width="4.109375" customWidth="1"/>
    <col min="2" max="2" width="13.77734375" style="5" customWidth="1"/>
    <col min="3" max="4" width="14.5546875" style="5" customWidth="1"/>
    <col min="5" max="5" width="8.88671875" style="5"/>
    <col min="6" max="6" width="15.6640625" style="5" customWidth="1"/>
    <col min="7" max="7" width="4.5546875" style="5" customWidth="1"/>
    <col min="8" max="8" width="17.21875" customWidth="1"/>
    <col min="10" max="10" width="6.77734375" customWidth="1"/>
    <col min="11" max="11" width="30.5546875" customWidth="1"/>
  </cols>
  <sheetData>
    <row r="2" spans="2:12" ht="31.2" customHeight="1" x14ac:dyDescent="0.3">
      <c r="B2" s="5" t="s">
        <v>53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54</v>
      </c>
      <c r="I2" s="5" t="s">
        <v>37</v>
      </c>
      <c r="J2" s="5"/>
      <c r="K2" s="5" t="s">
        <v>38</v>
      </c>
      <c r="L2" s="5" t="s">
        <v>37</v>
      </c>
    </row>
    <row r="3" spans="2:12" x14ac:dyDescent="0.3">
      <c r="B3" s="5">
        <v>1</v>
      </c>
      <c r="H3" s="5" t="s">
        <v>22</v>
      </c>
      <c r="I3" s="5"/>
      <c r="J3" s="5"/>
      <c r="K3" s="25" t="s">
        <v>68</v>
      </c>
      <c r="L3" s="5"/>
    </row>
    <row r="4" spans="2:12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21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ht="23.4" customHeight="1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16.2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H11" s="5"/>
      <c r="I11" s="5"/>
      <c r="J11" s="5"/>
      <c r="K11" s="5">
        <v>9</v>
      </c>
      <c r="L11" s="5"/>
    </row>
    <row r="12" spans="2:12" ht="20.399999999999999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H14" s="5"/>
      <c r="I14" s="5"/>
      <c r="J14" s="5"/>
      <c r="K14" s="5">
        <v>12</v>
      </c>
      <c r="L14" s="5"/>
    </row>
    <row r="15" spans="2:12" x14ac:dyDescent="0.3">
      <c r="B15" s="5">
        <v>13</v>
      </c>
      <c r="H15" s="5"/>
      <c r="I15" s="5"/>
      <c r="J15" s="5"/>
      <c r="K15" s="5">
        <v>13</v>
      </c>
      <c r="L15" s="5"/>
    </row>
    <row r="16" spans="2:12" x14ac:dyDescent="0.3">
      <c r="B16" s="5">
        <v>14</v>
      </c>
      <c r="H16" s="5"/>
      <c r="I16" s="5"/>
      <c r="J16" s="5"/>
      <c r="K16" s="5">
        <v>14</v>
      </c>
      <c r="L16" s="5"/>
    </row>
    <row r="17" spans="2:12" x14ac:dyDescent="0.3">
      <c r="B17" s="5">
        <v>15</v>
      </c>
      <c r="H17" s="5"/>
      <c r="I17" s="5"/>
      <c r="J17" s="5"/>
      <c r="K17" s="5">
        <v>15</v>
      </c>
      <c r="L17" s="5"/>
    </row>
    <row r="18" spans="2:12" x14ac:dyDescent="0.3">
      <c r="B18" s="5">
        <v>16</v>
      </c>
      <c r="H18" s="5"/>
      <c r="I18" s="5"/>
      <c r="J18" s="5"/>
      <c r="K18" s="5">
        <v>16</v>
      </c>
      <c r="L18" s="5"/>
    </row>
    <row r="19" spans="2:12" x14ac:dyDescent="0.3">
      <c r="B19" s="5">
        <v>17</v>
      </c>
      <c r="H19" s="5"/>
      <c r="I19" s="5"/>
      <c r="J19" s="5"/>
      <c r="K19" s="5">
        <v>17</v>
      </c>
      <c r="L19" s="5"/>
    </row>
    <row r="20" spans="2:12" x14ac:dyDescent="0.3">
      <c r="B20" s="5">
        <v>18</v>
      </c>
      <c r="H20" s="5"/>
      <c r="I20" s="5"/>
      <c r="J20" s="5"/>
      <c r="K20" s="5">
        <v>18</v>
      </c>
      <c r="L20" s="5"/>
    </row>
    <row r="21" spans="2:12" x14ac:dyDescent="0.3">
      <c r="B21" s="5">
        <v>19</v>
      </c>
      <c r="H21" s="5"/>
      <c r="I21" s="5"/>
      <c r="J21" s="5"/>
      <c r="K21" s="5">
        <v>19</v>
      </c>
      <c r="L21" s="5"/>
    </row>
    <row r="22" spans="2:12" x14ac:dyDescent="0.3">
      <c r="B22" s="5">
        <v>20</v>
      </c>
      <c r="H22" s="5"/>
      <c r="I22" s="5"/>
      <c r="J22" s="5"/>
      <c r="K22" s="5">
        <v>20</v>
      </c>
      <c r="L22" s="5"/>
    </row>
    <row r="23" spans="2:12" x14ac:dyDescent="0.3">
      <c r="B23" s="5">
        <v>21</v>
      </c>
      <c r="H23" s="5"/>
      <c r="I23" s="5"/>
      <c r="J23" s="5"/>
      <c r="K23" s="5" t="s">
        <v>1</v>
      </c>
      <c r="L23" s="5">
        <f>SUBTOTAL(109,AugInvoice[Amount])</f>
        <v>0</v>
      </c>
    </row>
    <row r="24" spans="2:12" x14ac:dyDescent="0.3">
      <c r="B24" s="5">
        <v>22</v>
      </c>
      <c r="H24" s="5"/>
      <c r="I24" s="5"/>
      <c r="J24" s="5"/>
      <c r="K24" s="5"/>
      <c r="L24" s="5"/>
    </row>
    <row r="25" spans="2:12" x14ac:dyDescent="0.3">
      <c r="B25" s="5">
        <v>23</v>
      </c>
      <c r="H25" s="5"/>
      <c r="I25" s="5"/>
      <c r="J25" s="5"/>
      <c r="K25" s="5"/>
      <c r="L25" s="5"/>
    </row>
    <row r="26" spans="2:12" x14ac:dyDescent="0.3">
      <c r="B26" s="5">
        <v>24</v>
      </c>
      <c r="H26" s="5"/>
      <c r="I26" s="5"/>
      <c r="J26" s="5"/>
      <c r="K26" s="5"/>
      <c r="L26" s="5"/>
    </row>
    <row r="27" spans="2:12" x14ac:dyDescent="0.3">
      <c r="B27" s="5">
        <v>25</v>
      </c>
      <c r="H27" s="5"/>
      <c r="I27" s="5"/>
      <c r="J27" s="5"/>
      <c r="K27" s="5"/>
      <c r="L27" s="5"/>
    </row>
    <row r="28" spans="2:12" x14ac:dyDescent="0.3">
      <c r="B28" s="5">
        <v>26</v>
      </c>
      <c r="H28" s="5"/>
      <c r="I28" s="5"/>
      <c r="J28" s="5"/>
      <c r="K28" s="5"/>
      <c r="L28" s="5"/>
    </row>
    <row r="29" spans="2:12" x14ac:dyDescent="0.3">
      <c r="B29" s="5">
        <v>27</v>
      </c>
      <c r="H29" s="5"/>
      <c r="I29" s="5"/>
      <c r="J29" s="5"/>
      <c r="K29" s="5"/>
      <c r="L29" s="5"/>
    </row>
    <row r="30" spans="2:12" x14ac:dyDescent="0.3">
      <c r="B30" s="5">
        <v>28</v>
      </c>
      <c r="H30" s="5"/>
      <c r="I30" s="5"/>
      <c r="J30" s="5"/>
      <c r="K30" s="5"/>
      <c r="L30" s="5"/>
    </row>
    <row r="31" spans="2:12" x14ac:dyDescent="0.3">
      <c r="B31" s="5">
        <v>29</v>
      </c>
      <c r="H31" s="5"/>
      <c r="I31" s="5"/>
      <c r="J31" s="5"/>
      <c r="K31" s="5"/>
      <c r="L31" s="5"/>
    </row>
    <row r="32" spans="2:12" x14ac:dyDescent="0.3">
      <c r="B32" s="5">
        <v>30</v>
      </c>
      <c r="H32" s="5"/>
      <c r="I32" s="5"/>
      <c r="J32" s="5"/>
      <c r="K32" s="5"/>
      <c r="L32" s="5"/>
    </row>
    <row r="33" spans="2:12" x14ac:dyDescent="0.3">
      <c r="B33" s="5">
        <v>31</v>
      </c>
      <c r="H33" s="5"/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H34" s="5"/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DAFB-05E2-4F8E-A460-7DCD56EF8E6E}">
  <dimension ref="B2:L34"/>
  <sheetViews>
    <sheetView workbookViewId="0">
      <selection activeCell="H7" sqref="H7"/>
    </sheetView>
  </sheetViews>
  <sheetFormatPr defaultRowHeight="14.4" x14ac:dyDescent="0.3"/>
  <cols>
    <col min="1" max="1" width="3.5546875" customWidth="1"/>
    <col min="2" max="2" width="14.77734375" style="5" customWidth="1"/>
    <col min="3" max="4" width="12.6640625" style="5" customWidth="1"/>
    <col min="5" max="5" width="8.88671875" style="5"/>
    <col min="6" max="6" width="13.33203125" style="5" customWidth="1"/>
    <col min="7" max="7" width="4.44140625" style="5" customWidth="1"/>
    <col min="8" max="8" width="18.77734375" customWidth="1"/>
    <col min="10" max="10" width="6" customWidth="1"/>
    <col min="11" max="11" width="30.77734375" customWidth="1"/>
  </cols>
  <sheetData>
    <row r="2" spans="2:12" ht="42.6" customHeight="1" x14ac:dyDescent="0.3">
      <c r="B2" s="5" t="s">
        <v>56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55</v>
      </c>
      <c r="I2" s="5" t="s">
        <v>37</v>
      </c>
      <c r="J2" s="5"/>
      <c r="K2" s="5" t="s">
        <v>38</v>
      </c>
      <c r="L2" s="5" t="s">
        <v>37</v>
      </c>
    </row>
    <row r="3" spans="2:12" x14ac:dyDescent="0.3">
      <c r="B3" s="5">
        <v>9</v>
      </c>
      <c r="H3" s="5" t="s">
        <v>22</v>
      </c>
      <c r="I3" s="5"/>
      <c r="J3" s="5"/>
      <c r="K3" s="25" t="s">
        <v>68</v>
      </c>
      <c r="L3" s="5"/>
    </row>
    <row r="4" spans="2:12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21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ht="21" customHeight="1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20.399999999999999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H11" s="5"/>
      <c r="I11" s="5"/>
      <c r="J11" s="5"/>
      <c r="K11" s="5">
        <v>9</v>
      </c>
      <c r="L11" s="5"/>
    </row>
    <row r="12" spans="2:12" ht="17.399999999999999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H14" s="5"/>
      <c r="I14" s="5"/>
      <c r="J14" s="5"/>
      <c r="K14" s="5">
        <v>12</v>
      </c>
      <c r="L14" s="5"/>
    </row>
    <row r="15" spans="2:12" x14ac:dyDescent="0.3">
      <c r="B15" s="5">
        <v>13</v>
      </c>
      <c r="H15" s="5"/>
      <c r="I15" s="5"/>
      <c r="J15" s="5"/>
      <c r="K15" s="5">
        <v>13</v>
      </c>
      <c r="L15" s="5"/>
    </row>
    <row r="16" spans="2:12" x14ac:dyDescent="0.3">
      <c r="B16" s="5">
        <v>14</v>
      </c>
      <c r="H16" s="5"/>
      <c r="I16" s="5"/>
      <c r="J16" s="5"/>
      <c r="K16" s="5">
        <v>14</v>
      </c>
      <c r="L16" s="5"/>
    </row>
    <row r="17" spans="2:12" x14ac:dyDescent="0.3">
      <c r="B17" s="5">
        <v>15</v>
      </c>
      <c r="H17" s="5"/>
      <c r="I17" s="5"/>
      <c r="J17" s="5"/>
      <c r="K17" s="5">
        <v>15</v>
      </c>
      <c r="L17" s="5"/>
    </row>
    <row r="18" spans="2:12" x14ac:dyDescent="0.3">
      <c r="B18" s="5">
        <v>16</v>
      </c>
      <c r="H18" s="5"/>
      <c r="I18" s="5"/>
      <c r="J18" s="5"/>
      <c r="K18" s="5">
        <v>16</v>
      </c>
      <c r="L18" s="5"/>
    </row>
    <row r="19" spans="2:12" x14ac:dyDescent="0.3">
      <c r="B19" s="5">
        <v>17</v>
      </c>
      <c r="H19" s="5"/>
      <c r="I19" s="5"/>
      <c r="J19" s="5"/>
      <c r="K19" s="5">
        <v>17</v>
      </c>
      <c r="L19" s="5"/>
    </row>
    <row r="20" spans="2:12" x14ac:dyDescent="0.3">
      <c r="B20" s="5">
        <v>18</v>
      </c>
      <c r="H20" s="5"/>
      <c r="I20" s="5"/>
      <c r="J20" s="5"/>
      <c r="K20" s="5">
        <v>18</v>
      </c>
      <c r="L20" s="5"/>
    </row>
    <row r="21" spans="2:12" x14ac:dyDescent="0.3">
      <c r="B21" s="5">
        <v>19</v>
      </c>
      <c r="H21" s="5"/>
      <c r="I21" s="5"/>
      <c r="J21" s="5"/>
      <c r="K21" s="5">
        <v>19</v>
      </c>
      <c r="L21" s="5"/>
    </row>
    <row r="22" spans="2:12" x14ac:dyDescent="0.3">
      <c r="B22" s="5">
        <v>20</v>
      </c>
      <c r="H22" s="5"/>
      <c r="I22" s="5"/>
      <c r="J22" s="5"/>
      <c r="K22" s="5">
        <v>20</v>
      </c>
      <c r="L22" s="5"/>
    </row>
    <row r="23" spans="2:12" x14ac:dyDescent="0.3">
      <c r="B23" s="5">
        <v>21</v>
      </c>
      <c r="H23" s="5"/>
      <c r="I23" s="5"/>
      <c r="J23" s="5"/>
      <c r="K23" s="5" t="s">
        <v>1</v>
      </c>
      <c r="L23" s="5">
        <f>SUBTOTAL(109,SepInvoice[Amount])</f>
        <v>0</v>
      </c>
    </row>
    <row r="24" spans="2:12" x14ac:dyDescent="0.3">
      <c r="B24" s="5">
        <v>22</v>
      </c>
      <c r="H24" s="5"/>
      <c r="I24" s="5"/>
      <c r="J24" s="5"/>
      <c r="K24" s="5"/>
      <c r="L24" s="5"/>
    </row>
    <row r="25" spans="2:12" x14ac:dyDescent="0.3">
      <c r="B25" s="5">
        <v>23</v>
      </c>
      <c r="H25" s="5"/>
      <c r="I25" s="5"/>
      <c r="J25" s="5"/>
      <c r="K25" s="5"/>
      <c r="L25" s="5"/>
    </row>
    <row r="26" spans="2:12" x14ac:dyDescent="0.3">
      <c r="B26" s="5">
        <v>24</v>
      </c>
      <c r="H26" s="5"/>
      <c r="I26" s="5"/>
      <c r="J26" s="5"/>
      <c r="K26" s="5"/>
      <c r="L26" s="5"/>
    </row>
    <row r="27" spans="2:12" x14ac:dyDescent="0.3">
      <c r="B27" s="5">
        <v>25</v>
      </c>
      <c r="H27" s="5"/>
      <c r="I27" s="5"/>
      <c r="J27" s="5"/>
      <c r="K27" s="5"/>
      <c r="L27" s="5"/>
    </row>
    <row r="28" spans="2:12" x14ac:dyDescent="0.3">
      <c r="B28" s="5">
        <v>26</v>
      </c>
      <c r="H28" s="5"/>
      <c r="I28" s="5"/>
      <c r="J28" s="5"/>
      <c r="K28" s="5"/>
      <c r="L28" s="5"/>
    </row>
    <row r="29" spans="2:12" x14ac:dyDescent="0.3">
      <c r="B29" s="5">
        <v>27</v>
      </c>
      <c r="H29" s="5"/>
      <c r="I29" s="5"/>
      <c r="J29" s="5"/>
      <c r="K29" s="5"/>
      <c r="L29" s="5"/>
    </row>
    <row r="30" spans="2:12" x14ac:dyDescent="0.3">
      <c r="B30" s="5">
        <v>28</v>
      </c>
      <c r="H30" s="5"/>
      <c r="I30" s="5"/>
      <c r="J30" s="5"/>
      <c r="K30" s="5"/>
      <c r="L30" s="5"/>
    </row>
    <row r="31" spans="2:12" x14ac:dyDescent="0.3">
      <c r="B31" s="5">
        <v>29</v>
      </c>
      <c r="H31" s="5"/>
      <c r="I31" s="5"/>
      <c r="J31" s="5"/>
      <c r="K31" s="5"/>
      <c r="L31" s="5"/>
    </row>
    <row r="32" spans="2:12" x14ac:dyDescent="0.3">
      <c r="B32" s="5">
        <v>30</v>
      </c>
      <c r="H32" s="5"/>
      <c r="I32" s="5"/>
      <c r="J32" s="5"/>
      <c r="K32" s="5"/>
      <c r="L32" s="5"/>
    </row>
    <row r="33" spans="2:12" x14ac:dyDescent="0.3">
      <c r="B33" s="5">
        <v>31</v>
      </c>
      <c r="H33" s="5"/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H34" s="5"/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E9AB-7762-478C-9A53-FD2BADC27762}">
  <dimension ref="B2:L34"/>
  <sheetViews>
    <sheetView workbookViewId="0">
      <selection activeCell="H7" sqref="H7"/>
    </sheetView>
  </sheetViews>
  <sheetFormatPr defaultRowHeight="14.4" x14ac:dyDescent="0.3"/>
  <cols>
    <col min="1" max="1" width="2.88671875" customWidth="1"/>
    <col min="2" max="2" width="11.5546875" style="5" customWidth="1"/>
    <col min="3" max="3" width="12.88671875" style="5" customWidth="1"/>
    <col min="4" max="4" width="12.33203125" style="5" customWidth="1"/>
    <col min="5" max="5" width="8.88671875" style="5"/>
    <col min="6" max="6" width="10.77734375" style="5" customWidth="1"/>
    <col min="7" max="7" width="6.21875" style="5" customWidth="1"/>
    <col min="8" max="8" width="17.5546875" customWidth="1"/>
    <col min="10" max="10" width="4" customWidth="1"/>
    <col min="11" max="11" width="28.88671875" customWidth="1"/>
  </cols>
  <sheetData>
    <row r="2" spans="2:12" ht="33.6" customHeight="1" x14ac:dyDescent="0.3">
      <c r="B2" s="5" t="s">
        <v>57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58</v>
      </c>
      <c r="I2" s="5" t="s">
        <v>37</v>
      </c>
      <c r="J2" s="5"/>
      <c r="K2" s="5" t="s">
        <v>38</v>
      </c>
      <c r="L2" s="5" t="s">
        <v>37</v>
      </c>
    </row>
    <row r="3" spans="2:12" x14ac:dyDescent="0.3">
      <c r="B3" s="5">
        <v>1</v>
      </c>
      <c r="H3" s="5" t="s">
        <v>22</v>
      </c>
      <c r="I3" s="5"/>
      <c r="J3" s="5"/>
      <c r="K3" s="25" t="s">
        <v>68</v>
      </c>
      <c r="L3" s="5"/>
    </row>
    <row r="4" spans="2:12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19.8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ht="21" customHeight="1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19.8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H11" s="5"/>
      <c r="I11" s="5"/>
      <c r="J11" s="5"/>
      <c r="K11" s="5">
        <v>9</v>
      </c>
      <c r="L11" s="5"/>
    </row>
    <row r="12" spans="2:12" ht="20.399999999999999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H14" s="5"/>
      <c r="I14" s="5"/>
      <c r="J14" s="5"/>
      <c r="K14" s="5">
        <v>12</v>
      </c>
      <c r="L14" s="5"/>
    </row>
    <row r="15" spans="2:12" x14ac:dyDescent="0.3">
      <c r="B15" s="5">
        <v>13</v>
      </c>
      <c r="H15" s="5"/>
      <c r="I15" s="5"/>
      <c r="J15" s="5"/>
      <c r="K15" s="5">
        <v>13</v>
      </c>
      <c r="L15" s="5"/>
    </row>
    <row r="16" spans="2:12" x14ac:dyDescent="0.3">
      <c r="B16" s="5">
        <v>14</v>
      </c>
      <c r="H16" s="5"/>
      <c r="I16" s="5"/>
      <c r="J16" s="5"/>
      <c r="K16" s="5">
        <v>14</v>
      </c>
      <c r="L16" s="5"/>
    </row>
    <row r="17" spans="2:12" x14ac:dyDescent="0.3">
      <c r="B17" s="5">
        <v>15</v>
      </c>
      <c r="H17" s="5"/>
      <c r="I17" s="5"/>
      <c r="J17" s="5"/>
      <c r="K17" s="5">
        <v>15</v>
      </c>
      <c r="L17" s="5"/>
    </row>
    <row r="18" spans="2:12" x14ac:dyDescent="0.3">
      <c r="B18" s="5">
        <v>16</v>
      </c>
      <c r="H18" s="5"/>
      <c r="I18" s="5"/>
      <c r="J18" s="5"/>
      <c r="K18" s="5">
        <v>16</v>
      </c>
      <c r="L18" s="5"/>
    </row>
    <row r="19" spans="2:12" x14ac:dyDescent="0.3">
      <c r="B19" s="5">
        <v>17</v>
      </c>
      <c r="H19" s="5"/>
      <c r="I19" s="5"/>
      <c r="J19" s="5"/>
      <c r="K19" s="5">
        <v>17</v>
      </c>
      <c r="L19" s="5"/>
    </row>
    <row r="20" spans="2:12" x14ac:dyDescent="0.3">
      <c r="B20" s="5">
        <v>18</v>
      </c>
      <c r="H20" s="5"/>
      <c r="I20" s="5"/>
      <c r="J20" s="5"/>
      <c r="K20" s="5">
        <v>18</v>
      </c>
      <c r="L20" s="5"/>
    </row>
    <row r="21" spans="2:12" x14ac:dyDescent="0.3">
      <c r="B21" s="5">
        <v>19</v>
      </c>
      <c r="H21" s="5"/>
      <c r="I21" s="5"/>
      <c r="J21" s="5"/>
      <c r="K21" s="5">
        <v>19</v>
      </c>
      <c r="L21" s="5"/>
    </row>
    <row r="22" spans="2:12" x14ac:dyDescent="0.3">
      <c r="B22" s="5">
        <v>20</v>
      </c>
      <c r="H22" s="5"/>
      <c r="I22" s="5"/>
      <c r="J22" s="5"/>
      <c r="K22" s="5">
        <v>20</v>
      </c>
      <c r="L22" s="5"/>
    </row>
    <row r="23" spans="2:12" x14ac:dyDescent="0.3">
      <c r="B23" s="5">
        <v>21</v>
      </c>
      <c r="H23" s="5"/>
      <c r="I23" s="5"/>
      <c r="J23" s="5"/>
      <c r="K23" s="5" t="s">
        <v>1</v>
      </c>
      <c r="L23" s="5">
        <f>SUBTOTAL(109,OctInvoice[Amount])</f>
        <v>0</v>
      </c>
    </row>
    <row r="24" spans="2:12" x14ac:dyDescent="0.3">
      <c r="B24" s="5">
        <v>22</v>
      </c>
      <c r="H24" s="5"/>
      <c r="I24" s="5"/>
      <c r="J24" s="5"/>
      <c r="K24" s="5"/>
      <c r="L24" s="5"/>
    </row>
    <row r="25" spans="2:12" x14ac:dyDescent="0.3">
      <c r="B25" s="5">
        <v>23</v>
      </c>
      <c r="H25" s="5"/>
      <c r="I25" s="5"/>
      <c r="J25" s="5"/>
      <c r="K25" s="5"/>
      <c r="L25" s="5"/>
    </row>
    <row r="26" spans="2:12" x14ac:dyDescent="0.3">
      <c r="B26" s="5">
        <v>24</v>
      </c>
      <c r="H26" s="5"/>
      <c r="I26" s="5"/>
      <c r="J26" s="5"/>
      <c r="K26" s="5"/>
      <c r="L26" s="5"/>
    </row>
    <row r="27" spans="2:12" x14ac:dyDescent="0.3">
      <c r="B27" s="5">
        <v>25</v>
      </c>
      <c r="H27" s="5"/>
      <c r="I27" s="5"/>
      <c r="J27" s="5"/>
      <c r="K27" s="5"/>
      <c r="L27" s="5"/>
    </row>
    <row r="28" spans="2:12" x14ac:dyDescent="0.3">
      <c r="B28" s="5">
        <v>26</v>
      </c>
      <c r="H28" s="5"/>
      <c r="I28" s="5"/>
      <c r="J28" s="5"/>
      <c r="K28" s="5"/>
      <c r="L28" s="5"/>
    </row>
    <row r="29" spans="2:12" x14ac:dyDescent="0.3">
      <c r="B29" s="5">
        <v>27</v>
      </c>
      <c r="H29" s="5"/>
      <c r="I29" s="5"/>
      <c r="J29" s="5"/>
      <c r="K29" s="5"/>
      <c r="L29" s="5"/>
    </row>
    <row r="30" spans="2:12" x14ac:dyDescent="0.3">
      <c r="B30" s="5">
        <v>28</v>
      </c>
      <c r="H30" s="5"/>
      <c r="I30" s="5"/>
      <c r="J30" s="5"/>
      <c r="K30" s="5"/>
      <c r="L30" s="5"/>
    </row>
    <row r="31" spans="2:12" x14ac:dyDescent="0.3">
      <c r="B31" s="5">
        <v>29</v>
      </c>
      <c r="H31" s="5"/>
      <c r="I31" s="5"/>
      <c r="J31" s="5"/>
      <c r="K31" s="5"/>
      <c r="L31" s="5"/>
    </row>
    <row r="32" spans="2:12" x14ac:dyDescent="0.3">
      <c r="B32" s="5">
        <v>30</v>
      </c>
      <c r="H32" s="5"/>
      <c r="I32" s="5"/>
      <c r="J32" s="5"/>
      <c r="K32" s="5"/>
      <c r="L32" s="5"/>
    </row>
    <row r="33" spans="2:12" x14ac:dyDescent="0.3">
      <c r="B33" s="5">
        <v>31</v>
      </c>
      <c r="H33" s="5"/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H34" s="5"/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662B-DC64-49F1-9C5B-6D44443DC326}">
  <dimension ref="A1:L35"/>
  <sheetViews>
    <sheetView workbookViewId="0">
      <selection activeCell="H7" sqref="H7"/>
    </sheetView>
  </sheetViews>
  <sheetFormatPr defaultRowHeight="14.4" x14ac:dyDescent="0.3"/>
  <cols>
    <col min="1" max="1" width="3.6640625" customWidth="1"/>
    <col min="2" max="2" width="12.109375" customWidth="1"/>
    <col min="3" max="4" width="14" customWidth="1"/>
    <col min="6" max="6" width="11.6640625" customWidth="1"/>
    <col min="7" max="7" width="8.5546875" customWidth="1"/>
    <col min="8" max="8" width="20.6640625" customWidth="1"/>
    <col min="10" max="10" width="6.109375" customWidth="1"/>
    <col min="11" max="11" width="23.21875" customWidth="1"/>
  </cols>
  <sheetData>
    <row r="1" spans="1:12" x14ac:dyDescent="0.3">
      <c r="A1" s="5"/>
      <c r="B1" s="5"/>
      <c r="C1" s="5"/>
      <c r="D1" s="5"/>
      <c r="E1" s="5"/>
      <c r="F1" s="5"/>
      <c r="G1" s="5"/>
    </row>
    <row r="2" spans="1:12" ht="38.4" customHeight="1" x14ac:dyDescent="0.3">
      <c r="A2" s="5"/>
      <c r="B2" s="5" t="s">
        <v>59</v>
      </c>
      <c r="C2" s="5" t="s">
        <v>34</v>
      </c>
      <c r="D2" s="5" t="s">
        <v>2</v>
      </c>
      <c r="E2" s="5" t="s">
        <v>3</v>
      </c>
      <c r="F2" s="5" t="s">
        <v>35</v>
      </c>
      <c r="G2" s="5"/>
      <c r="H2" s="5" t="s">
        <v>60</v>
      </c>
      <c r="I2" s="5" t="s">
        <v>37</v>
      </c>
      <c r="J2" s="5"/>
      <c r="K2" s="5" t="s">
        <v>38</v>
      </c>
      <c r="L2" s="5" t="s">
        <v>37</v>
      </c>
    </row>
    <row r="3" spans="1:12" ht="28.8" x14ac:dyDescent="0.3">
      <c r="A3" s="5"/>
      <c r="B3" s="5">
        <v>1</v>
      </c>
      <c r="C3" s="5"/>
      <c r="D3" s="5"/>
      <c r="E3" s="5"/>
      <c r="F3" s="5"/>
      <c r="G3" s="5"/>
      <c r="H3" s="5" t="s">
        <v>22</v>
      </c>
      <c r="I3" s="5"/>
      <c r="J3" s="5"/>
      <c r="K3" s="25" t="s">
        <v>68</v>
      </c>
      <c r="L3" s="5"/>
    </row>
    <row r="4" spans="1:12" ht="28.8" x14ac:dyDescent="0.3">
      <c r="A4" s="5"/>
      <c r="B4" s="5">
        <v>2</v>
      </c>
      <c r="C4" s="5"/>
      <c r="D4" s="5"/>
      <c r="E4" s="5"/>
      <c r="F4" s="5"/>
      <c r="G4" s="5"/>
      <c r="H4" s="5" t="s">
        <v>29</v>
      </c>
      <c r="I4" s="5"/>
      <c r="J4" s="5"/>
      <c r="K4" s="25" t="s">
        <v>69</v>
      </c>
      <c r="L4" s="5"/>
    </row>
    <row r="5" spans="1:12" ht="21" customHeight="1" x14ac:dyDescent="0.3">
      <c r="A5" s="5"/>
      <c r="B5" s="5">
        <v>3</v>
      </c>
      <c r="C5" s="5"/>
      <c r="D5" s="5"/>
      <c r="E5" s="5"/>
      <c r="F5" s="5"/>
      <c r="G5" s="5"/>
      <c r="H5" s="5" t="s">
        <v>30</v>
      </c>
      <c r="I5" s="5"/>
      <c r="J5" s="5"/>
      <c r="K5" s="25" t="s">
        <v>70</v>
      </c>
      <c r="L5" s="5"/>
    </row>
    <row r="6" spans="1:12" ht="28.8" x14ac:dyDescent="0.3">
      <c r="A6" s="5"/>
      <c r="B6" s="5">
        <v>4</v>
      </c>
      <c r="C6" s="5"/>
      <c r="D6" s="5"/>
      <c r="E6" s="5"/>
      <c r="F6" s="5"/>
      <c r="G6" s="5"/>
      <c r="H6" s="5" t="s">
        <v>31</v>
      </c>
      <c r="I6" s="5"/>
      <c r="J6" s="5"/>
      <c r="K6" s="25" t="s">
        <v>71</v>
      </c>
      <c r="L6" s="5"/>
    </row>
    <row r="7" spans="1:12" x14ac:dyDescent="0.3">
      <c r="A7" s="5"/>
      <c r="B7" s="5">
        <v>5</v>
      </c>
      <c r="C7" s="5"/>
      <c r="D7" s="5"/>
      <c r="E7" s="5"/>
      <c r="F7" s="5"/>
      <c r="G7" s="5"/>
      <c r="H7" s="5" t="s">
        <v>73</v>
      </c>
      <c r="I7" s="5"/>
      <c r="J7" s="5"/>
      <c r="K7" s="5">
        <v>5</v>
      </c>
      <c r="L7" s="5"/>
    </row>
    <row r="8" spans="1:12" x14ac:dyDescent="0.3">
      <c r="A8" s="5"/>
      <c r="B8" s="5">
        <v>6</v>
      </c>
      <c r="C8" s="5"/>
      <c r="D8" s="5"/>
      <c r="E8" s="5"/>
      <c r="F8" s="5"/>
      <c r="G8" s="5"/>
      <c r="H8" s="5" t="s">
        <v>26</v>
      </c>
      <c r="I8" s="5"/>
      <c r="J8" s="5"/>
      <c r="K8" s="5">
        <v>6</v>
      </c>
      <c r="L8" s="5"/>
    </row>
    <row r="9" spans="1:12" ht="22.2" customHeight="1" x14ac:dyDescent="0.3">
      <c r="A9" s="5"/>
      <c r="B9" s="5">
        <v>7</v>
      </c>
      <c r="C9" s="5"/>
      <c r="D9" s="5"/>
      <c r="E9" s="5"/>
      <c r="F9" s="5"/>
      <c r="G9" s="5"/>
      <c r="H9" s="5" t="s">
        <v>27</v>
      </c>
      <c r="I9" s="5"/>
      <c r="J9" s="5"/>
      <c r="K9" s="5">
        <v>7</v>
      </c>
      <c r="L9" s="5"/>
    </row>
    <row r="10" spans="1:12" ht="24" customHeight="1" x14ac:dyDescent="0.3">
      <c r="A10" s="5"/>
      <c r="B10" s="5">
        <v>8</v>
      </c>
      <c r="C10" s="5"/>
      <c r="D10" s="5"/>
      <c r="E10" s="5"/>
      <c r="F10" s="5"/>
      <c r="G10" s="5"/>
      <c r="H10" s="5" t="s">
        <v>28</v>
      </c>
      <c r="I10" s="5"/>
      <c r="J10" s="5"/>
      <c r="K10" s="5">
        <v>8</v>
      </c>
      <c r="L10" s="5"/>
    </row>
    <row r="11" spans="1:12" x14ac:dyDescent="0.3">
      <c r="A11" s="5"/>
      <c r="B11" s="5">
        <v>9</v>
      </c>
      <c r="C11" s="5"/>
      <c r="D11" s="5"/>
      <c r="E11" s="5"/>
      <c r="F11" s="5"/>
      <c r="G11" s="5"/>
      <c r="H11" s="5"/>
      <c r="I11" s="5"/>
      <c r="J11" s="5"/>
      <c r="K11" s="5">
        <v>9</v>
      </c>
      <c r="L11" s="5"/>
    </row>
    <row r="12" spans="1:12" ht="22.2" customHeight="1" x14ac:dyDescent="0.3">
      <c r="A12" s="5"/>
      <c r="B12" s="5">
        <v>10</v>
      </c>
      <c r="C12" s="5"/>
      <c r="D12" s="5"/>
      <c r="E12" s="5"/>
      <c r="F12" s="5"/>
      <c r="G12" s="5"/>
      <c r="H12" s="5" t="s">
        <v>32</v>
      </c>
      <c r="I12" s="5"/>
      <c r="J12" s="5"/>
      <c r="K12" s="5">
        <v>10</v>
      </c>
      <c r="L12" s="5"/>
    </row>
    <row r="13" spans="1:12" x14ac:dyDescent="0.3">
      <c r="A13" s="5"/>
      <c r="B13" s="5">
        <v>11</v>
      </c>
      <c r="C13" s="5"/>
      <c r="D13" s="5"/>
      <c r="E13" s="5"/>
      <c r="F13" s="5"/>
      <c r="G13" s="5"/>
      <c r="H13" s="5">
        <f>SUM(I4:I5)</f>
        <v>0</v>
      </c>
      <c r="I13" s="5"/>
      <c r="J13" s="5"/>
      <c r="K13" s="5">
        <v>11</v>
      </c>
      <c r="L13" s="5"/>
    </row>
    <row r="14" spans="1:12" x14ac:dyDescent="0.3">
      <c r="A14" s="5"/>
      <c r="B14" s="5">
        <v>12</v>
      </c>
      <c r="C14" s="5"/>
      <c r="D14" s="5"/>
      <c r="E14" s="5"/>
      <c r="F14" s="5"/>
      <c r="G14" s="5"/>
      <c r="H14" s="5"/>
      <c r="I14" s="5"/>
      <c r="J14" s="5"/>
      <c r="K14" s="5">
        <v>12</v>
      </c>
      <c r="L14" s="5"/>
    </row>
    <row r="15" spans="1:12" x14ac:dyDescent="0.3">
      <c r="A15" s="5"/>
      <c r="B15" s="5">
        <v>13</v>
      </c>
      <c r="C15" s="5"/>
      <c r="D15" s="5"/>
      <c r="E15" s="5"/>
      <c r="F15" s="5"/>
      <c r="G15" s="5"/>
      <c r="H15" s="5"/>
      <c r="I15" s="5"/>
      <c r="J15" s="5"/>
      <c r="K15" s="5">
        <v>13</v>
      </c>
      <c r="L15" s="5"/>
    </row>
    <row r="16" spans="1:12" x14ac:dyDescent="0.3">
      <c r="A16" s="5"/>
      <c r="B16" s="5">
        <v>14</v>
      </c>
      <c r="C16" s="5"/>
      <c r="D16" s="5"/>
      <c r="E16" s="5"/>
      <c r="F16" s="5"/>
      <c r="G16" s="5"/>
      <c r="H16" s="5"/>
      <c r="I16" s="5"/>
      <c r="J16" s="5"/>
      <c r="K16" s="5">
        <v>14</v>
      </c>
      <c r="L16" s="5"/>
    </row>
    <row r="17" spans="1:12" x14ac:dyDescent="0.3">
      <c r="A17" s="5"/>
      <c r="B17" s="5">
        <v>15</v>
      </c>
      <c r="C17" s="5"/>
      <c r="D17" s="5"/>
      <c r="E17" s="5"/>
      <c r="F17" s="5"/>
      <c r="G17" s="5"/>
      <c r="H17" s="5"/>
      <c r="I17" s="5"/>
      <c r="J17" s="5"/>
      <c r="K17" s="5">
        <v>15</v>
      </c>
      <c r="L17" s="5"/>
    </row>
    <row r="18" spans="1:12" x14ac:dyDescent="0.3">
      <c r="A18" s="5"/>
      <c r="B18" s="5">
        <v>16</v>
      </c>
      <c r="C18" s="5"/>
      <c r="D18" s="5"/>
      <c r="E18" s="5"/>
      <c r="F18" s="5"/>
      <c r="G18" s="5"/>
      <c r="H18" s="5"/>
      <c r="I18" s="5"/>
      <c r="J18" s="5"/>
      <c r="K18" s="5">
        <v>16</v>
      </c>
      <c r="L18" s="5"/>
    </row>
    <row r="19" spans="1:12" x14ac:dyDescent="0.3">
      <c r="A19" s="5"/>
      <c r="B19" s="5">
        <v>17</v>
      </c>
      <c r="C19" s="5"/>
      <c r="D19" s="5"/>
      <c r="E19" s="5"/>
      <c r="F19" s="5"/>
      <c r="G19" s="5"/>
      <c r="H19" s="5"/>
      <c r="I19" s="5"/>
      <c r="J19" s="5"/>
      <c r="K19" s="5">
        <v>17</v>
      </c>
      <c r="L19" s="5"/>
    </row>
    <row r="20" spans="1:12" x14ac:dyDescent="0.3">
      <c r="A20" s="5"/>
      <c r="B20" s="5">
        <v>18</v>
      </c>
      <c r="C20" s="5"/>
      <c r="D20" s="5"/>
      <c r="E20" s="5"/>
      <c r="F20" s="5"/>
      <c r="G20" s="5"/>
      <c r="H20" s="5"/>
      <c r="I20" s="5"/>
      <c r="J20" s="5"/>
      <c r="K20" s="5">
        <v>18</v>
      </c>
      <c r="L20" s="5"/>
    </row>
    <row r="21" spans="1:12" x14ac:dyDescent="0.3">
      <c r="A21" s="5"/>
      <c r="B21" s="5">
        <v>19</v>
      </c>
      <c r="C21" s="5"/>
      <c r="D21" s="5"/>
      <c r="E21" s="5"/>
      <c r="F21" s="5"/>
      <c r="G21" s="5"/>
      <c r="H21" s="5"/>
      <c r="I21" s="5"/>
      <c r="J21" s="5"/>
      <c r="K21" s="5">
        <v>19</v>
      </c>
      <c r="L21" s="5"/>
    </row>
    <row r="22" spans="1:12" x14ac:dyDescent="0.3">
      <c r="A22" s="5"/>
      <c r="B22" s="5">
        <v>20</v>
      </c>
      <c r="C22" s="5"/>
      <c r="D22" s="5"/>
      <c r="E22" s="5"/>
      <c r="F22" s="5"/>
      <c r="G22" s="5"/>
      <c r="H22" s="5"/>
      <c r="I22" s="5"/>
      <c r="J22" s="5"/>
      <c r="K22" s="5">
        <v>20</v>
      </c>
      <c r="L22" s="5"/>
    </row>
    <row r="23" spans="1:12" x14ac:dyDescent="0.3">
      <c r="A23" s="5"/>
      <c r="B23" s="5">
        <v>21</v>
      </c>
      <c r="C23" s="5"/>
      <c r="D23" s="5"/>
      <c r="E23" s="5"/>
      <c r="F23" s="5"/>
      <c r="G23" s="5"/>
      <c r="H23" s="5"/>
      <c r="I23" s="5"/>
      <c r="J23" s="5"/>
      <c r="K23" s="5" t="s">
        <v>1</v>
      </c>
      <c r="L23" s="5">
        <f>SUBTOTAL(109,NovInvoice[Amount])</f>
        <v>0</v>
      </c>
    </row>
    <row r="24" spans="1:12" x14ac:dyDescent="0.3">
      <c r="A24" s="5"/>
      <c r="B24" s="5">
        <v>22</v>
      </c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">
      <c r="A25" s="5"/>
      <c r="B25" s="5">
        <v>23</v>
      </c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3">
      <c r="A26" s="5"/>
      <c r="B26" s="5">
        <v>24</v>
      </c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3">
      <c r="A27" s="5"/>
      <c r="B27" s="5">
        <v>25</v>
      </c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3">
      <c r="A28" s="5"/>
      <c r="B28" s="5">
        <v>26</v>
      </c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3">
      <c r="A29" s="5"/>
      <c r="B29" s="5">
        <v>27</v>
      </c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3">
      <c r="A30" s="5"/>
      <c r="B30" s="5">
        <v>28</v>
      </c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3">
      <c r="A31" s="5"/>
      <c r="B31" s="5">
        <v>29</v>
      </c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3">
      <c r="A32" s="5"/>
      <c r="B32" s="5">
        <v>30</v>
      </c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3">
      <c r="A33" s="5"/>
      <c r="B33" s="5">
        <v>31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3">
      <c r="A34" s="5"/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G34" s="5"/>
      <c r="H34" s="5"/>
      <c r="I34" s="5"/>
      <c r="J34" s="5"/>
      <c r="K34" s="5"/>
      <c r="L34" s="5"/>
    </row>
    <row r="35" spans="1:12" x14ac:dyDescent="0.3">
      <c r="A35" s="5"/>
      <c r="B35" s="5"/>
      <c r="C35" s="5"/>
      <c r="D35" s="5"/>
      <c r="E35" s="5"/>
      <c r="F35" s="5"/>
      <c r="G35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689D2-3634-4DB3-BA12-078F8513B203}">
  <dimension ref="B2:L34"/>
  <sheetViews>
    <sheetView tabSelected="1" workbookViewId="0">
      <selection activeCell="H7" sqref="H7"/>
    </sheetView>
  </sheetViews>
  <sheetFormatPr defaultRowHeight="14.4" x14ac:dyDescent="0.3"/>
  <cols>
    <col min="1" max="1" width="4.88671875" customWidth="1"/>
    <col min="2" max="2" width="13.33203125" style="5" customWidth="1"/>
    <col min="3" max="3" width="10.44140625" style="5" customWidth="1"/>
    <col min="4" max="4" width="11.88671875" style="5" customWidth="1"/>
    <col min="5" max="5" width="8.88671875" style="5"/>
    <col min="6" max="6" width="12.109375" style="5" customWidth="1"/>
    <col min="7" max="7" width="7.109375" style="5" customWidth="1"/>
    <col min="8" max="8" width="17.77734375" customWidth="1"/>
    <col min="10" max="10" width="6.109375" customWidth="1"/>
    <col min="11" max="11" width="23" customWidth="1"/>
  </cols>
  <sheetData>
    <row r="2" spans="2:12" ht="31.2" customHeight="1" x14ac:dyDescent="0.3">
      <c r="B2" s="5" t="s">
        <v>62</v>
      </c>
      <c r="C2" s="5" t="s">
        <v>34</v>
      </c>
      <c r="D2" s="5" t="s">
        <v>2</v>
      </c>
      <c r="E2" s="5" t="s">
        <v>3</v>
      </c>
      <c r="F2" s="5" t="s">
        <v>35</v>
      </c>
      <c r="H2" s="5" t="s">
        <v>61</v>
      </c>
      <c r="I2" s="5" t="s">
        <v>37</v>
      </c>
      <c r="J2" s="5"/>
      <c r="K2" s="5" t="s">
        <v>38</v>
      </c>
      <c r="L2" s="5" t="s">
        <v>37</v>
      </c>
    </row>
    <row r="3" spans="2:12" ht="28.8" x14ac:dyDescent="0.3">
      <c r="B3" s="5">
        <v>1</v>
      </c>
      <c r="H3" s="5" t="s">
        <v>22</v>
      </c>
      <c r="I3" s="5"/>
      <c r="J3" s="5"/>
      <c r="K3" s="25" t="s">
        <v>68</v>
      </c>
      <c r="L3" s="5"/>
    </row>
    <row r="4" spans="2:12" ht="28.8" x14ac:dyDescent="0.3">
      <c r="B4" s="5">
        <v>2</v>
      </c>
      <c r="H4" s="5" t="s">
        <v>29</v>
      </c>
      <c r="I4" s="5"/>
      <c r="J4" s="5"/>
      <c r="K4" s="25" t="s">
        <v>69</v>
      </c>
      <c r="L4" s="5"/>
    </row>
    <row r="5" spans="2:12" ht="25.8" customHeight="1" x14ac:dyDescent="0.3">
      <c r="B5" s="5">
        <v>3</v>
      </c>
      <c r="H5" s="5" t="s">
        <v>30</v>
      </c>
      <c r="I5" s="5"/>
      <c r="J5" s="5"/>
      <c r="K5" s="25" t="s">
        <v>70</v>
      </c>
      <c r="L5" s="5"/>
    </row>
    <row r="6" spans="2:12" ht="28.8" x14ac:dyDescent="0.3">
      <c r="B6" s="5">
        <v>4</v>
      </c>
      <c r="H6" s="5" t="s">
        <v>31</v>
      </c>
      <c r="I6" s="5"/>
      <c r="J6" s="5"/>
      <c r="K6" s="25" t="s">
        <v>71</v>
      </c>
      <c r="L6" s="5"/>
    </row>
    <row r="7" spans="2:12" x14ac:dyDescent="0.3">
      <c r="B7" s="5">
        <v>5</v>
      </c>
      <c r="H7" s="5" t="s">
        <v>73</v>
      </c>
      <c r="I7" s="5"/>
      <c r="J7" s="5"/>
      <c r="K7" s="5">
        <v>5</v>
      </c>
      <c r="L7" s="5"/>
    </row>
    <row r="8" spans="2:12" x14ac:dyDescent="0.3">
      <c r="B8" s="5">
        <v>6</v>
      </c>
      <c r="H8" s="5" t="s">
        <v>26</v>
      </c>
      <c r="I8" s="5"/>
      <c r="J8" s="5"/>
      <c r="K8" s="5">
        <v>6</v>
      </c>
      <c r="L8" s="5"/>
    </row>
    <row r="9" spans="2:12" ht="19.2" customHeight="1" x14ac:dyDescent="0.3">
      <c r="B9" s="5">
        <v>7</v>
      </c>
      <c r="H9" s="5" t="s">
        <v>27</v>
      </c>
      <c r="I9" s="5"/>
      <c r="J9" s="5"/>
      <c r="K9" s="5">
        <v>7</v>
      </c>
      <c r="L9" s="5"/>
    </row>
    <row r="10" spans="2:12" ht="18" customHeight="1" x14ac:dyDescent="0.3">
      <c r="B10" s="5">
        <v>8</v>
      </c>
      <c r="H10" s="5" t="s">
        <v>28</v>
      </c>
      <c r="I10" s="5"/>
      <c r="J10" s="5"/>
      <c r="K10" s="5">
        <v>8</v>
      </c>
      <c r="L10" s="5"/>
    </row>
    <row r="11" spans="2:12" x14ac:dyDescent="0.3">
      <c r="B11" s="5">
        <v>9</v>
      </c>
      <c r="H11" s="5"/>
      <c r="I11" s="5"/>
      <c r="J11" s="5"/>
      <c r="K11" s="5">
        <v>9</v>
      </c>
      <c r="L11" s="5"/>
    </row>
    <row r="12" spans="2:12" ht="16.2" customHeight="1" x14ac:dyDescent="0.3">
      <c r="B12" s="5">
        <v>10</v>
      </c>
      <c r="H12" s="5" t="s">
        <v>32</v>
      </c>
      <c r="I12" s="5"/>
      <c r="J12" s="5"/>
      <c r="K12" s="5">
        <v>10</v>
      </c>
      <c r="L12" s="5"/>
    </row>
    <row r="13" spans="2:12" x14ac:dyDescent="0.3">
      <c r="B13" s="5">
        <v>11</v>
      </c>
      <c r="H13" s="5">
        <f>SUM(I4:I5)</f>
        <v>0</v>
      </c>
      <c r="I13" s="5"/>
      <c r="J13" s="5"/>
      <c r="K13" s="5">
        <v>11</v>
      </c>
      <c r="L13" s="5"/>
    </row>
    <row r="14" spans="2:12" x14ac:dyDescent="0.3">
      <c r="B14" s="5">
        <v>12</v>
      </c>
      <c r="H14" s="5"/>
      <c r="I14" s="5"/>
      <c r="J14" s="5"/>
      <c r="K14" s="5">
        <v>12</v>
      </c>
      <c r="L14" s="5"/>
    </row>
    <row r="15" spans="2:12" x14ac:dyDescent="0.3">
      <c r="B15" s="5">
        <v>13</v>
      </c>
      <c r="H15" s="5"/>
      <c r="I15" s="5"/>
      <c r="J15" s="5"/>
      <c r="K15" s="5">
        <v>13</v>
      </c>
      <c r="L15" s="5"/>
    </row>
    <row r="16" spans="2:12" x14ac:dyDescent="0.3">
      <c r="B16" s="5">
        <v>14</v>
      </c>
      <c r="H16" s="5"/>
      <c r="I16" s="5"/>
      <c r="J16" s="5"/>
      <c r="K16" s="5">
        <v>14</v>
      </c>
      <c r="L16" s="5"/>
    </row>
    <row r="17" spans="2:12" x14ac:dyDescent="0.3">
      <c r="B17" s="5">
        <v>15</v>
      </c>
      <c r="H17" s="5"/>
      <c r="I17" s="5"/>
      <c r="J17" s="5"/>
      <c r="K17" s="5">
        <v>15</v>
      </c>
      <c r="L17" s="5"/>
    </row>
    <row r="18" spans="2:12" x14ac:dyDescent="0.3">
      <c r="B18" s="5">
        <v>16</v>
      </c>
      <c r="H18" s="5"/>
      <c r="I18" s="5"/>
      <c r="J18" s="5"/>
      <c r="K18" s="5">
        <v>16</v>
      </c>
      <c r="L18" s="5"/>
    </row>
    <row r="19" spans="2:12" x14ac:dyDescent="0.3">
      <c r="B19" s="5">
        <v>17</v>
      </c>
      <c r="H19" s="5"/>
      <c r="I19" s="5"/>
      <c r="J19" s="5"/>
      <c r="K19" s="5">
        <v>17</v>
      </c>
      <c r="L19" s="5"/>
    </row>
    <row r="20" spans="2:12" x14ac:dyDescent="0.3">
      <c r="B20" s="5">
        <v>18</v>
      </c>
      <c r="H20" s="5"/>
      <c r="I20" s="5"/>
      <c r="J20" s="5"/>
      <c r="K20" s="5">
        <v>18</v>
      </c>
      <c r="L20" s="5"/>
    </row>
    <row r="21" spans="2:12" x14ac:dyDescent="0.3">
      <c r="B21" s="5">
        <v>19</v>
      </c>
      <c r="H21" s="5"/>
      <c r="I21" s="5"/>
      <c r="J21" s="5"/>
      <c r="K21" s="5">
        <v>19</v>
      </c>
      <c r="L21" s="5"/>
    </row>
    <row r="22" spans="2:12" x14ac:dyDescent="0.3">
      <c r="B22" s="5">
        <v>20</v>
      </c>
      <c r="H22" s="5"/>
      <c r="I22" s="5"/>
      <c r="J22" s="5"/>
      <c r="K22" s="5">
        <v>20</v>
      </c>
      <c r="L22" s="5"/>
    </row>
    <row r="23" spans="2:12" x14ac:dyDescent="0.3">
      <c r="B23" s="5">
        <v>21</v>
      </c>
      <c r="H23" s="5"/>
      <c r="I23" s="5"/>
      <c r="J23" s="5"/>
      <c r="K23" s="5" t="s">
        <v>1</v>
      </c>
      <c r="L23" s="5">
        <f>SUBTOTAL(109,DecInvoice[Amount])</f>
        <v>0</v>
      </c>
    </row>
    <row r="24" spans="2:12" x14ac:dyDescent="0.3">
      <c r="B24" s="5">
        <v>22</v>
      </c>
      <c r="H24" s="5"/>
      <c r="I24" s="5"/>
      <c r="J24" s="5"/>
      <c r="K24" s="5"/>
      <c r="L24" s="5"/>
    </row>
    <row r="25" spans="2:12" x14ac:dyDescent="0.3">
      <c r="B25" s="5">
        <v>23</v>
      </c>
      <c r="H25" s="5"/>
      <c r="I25" s="5"/>
      <c r="J25" s="5"/>
      <c r="K25" s="5"/>
      <c r="L25" s="5"/>
    </row>
    <row r="26" spans="2:12" x14ac:dyDescent="0.3">
      <c r="B26" s="5">
        <v>24</v>
      </c>
      <c r="H26" s="5"/>
      <c r="I26" s="5"/>
      <c r="J26" s="5"/>
      <c r="K26" s="5"/>
      <c r="L26" s="5"/>
    </row>
    <row r="27" spans="2:12" x14ac:dyDescent="0.3">
      <c r="B27" s="5">
        <v>25</v>
      </c>
      <c r="H27" s="5"/>
      <c r="I27" s="5"/>
      <c r="J27" s="5"/>
      <c r="K27" s="5"/>
      <c r="L27" s="5"/>
    </row>
    <row r="28" spans="2:12" x14ac:dyDescent="0.3">
      <c r="B28" s="5">
        <v>26</v>
      </c>
      <c r="H28" s="5"/>
      <c r="I28" s="5"/>
      <c r="J28" s="5"/>
      <c r="K28" s="5"/>
      <c r="L28" s="5"/>
    </row>
    <row r="29" spans="2:12" x14ac:dyDescent="0.3">
      <c r="B29" s="5">
        <v>27</v>
      </c>
      <c r="H29" s="5"/>
      <c r="I29" s="5"/>
      <c r="J29" s="5"/>
      <c r="K29" s="5"/>
      <c r="L29" s="5"/>
    </row>
    <row r="30" spans="2:12" x14ac:dyDescent="0.3">
      <c r="B30" s="5">
        <v>28</v>
      </c>
      <c r="H30" s="5"/>
      <c r="I30" s="5"/>
      <c r="J30" s="5"/>
      <c r="K30" s="5"/>
      <c r="L30" s="5"/>
    </row>
    <row r="31" spans="2:12" x14ac:dyDescent="0.3">
      <c r="B31" s="5">
        <v>29</v>
      </c>
      <c r="H31" s="5"/>
      <c r="I31" s="5"/>
      <c r="J31" s="5"/>
      <c r="K31" s="5"/>
      <c r="L31" s="5"/>
    </row>
    <row r="32" spans="2:12" x14ac:dyDescent="0.3">
      <c r="B32" s="5">
        <v>30</v>
      </c>
      <c r="H32" s="5"/>
      <c r="I32" s="5"/>
      <c r="J32" s="5"/>
      <c r="K32" s="5"/>
      <c r="L32" s="5"/>
    </row>
    <row r="33" spans="2:12" x14ac:dyDescent="0.3">
      <c r="B33" s="5">
        <v>31</v>
      </c>
      <c r="H33" s="5"/>
      <c r="I33" s="5"/>
      <c r="J33" s="5"/>
      <c r="K33" s="5"/>
      <c r="L33" s="5"/>
    </row>
    <row r="34" spans="2:12" x14ac:dyDescent="0.3">
      <c r="B34" s="18" t="s">
        <v>1</v>
      </c>
      <c r="C34" s="18">
        <f>SUM(C3:C33)</f>
        <v>0</v>
      </c>
      <c r="D34" s="18">
        <f>SUM(D3:D33)</f>
        <v>0</v>
      </c>
      <c r="E34" s="18">
        <f>SUM(E3:E33)</f>
        <v>0</v>
      </c>
      <c r="F34" s="18">
        <f>SUM(F3:F33)</f>
        <v>0</v>
      </c>
      <c r="H34" s="5"/>
      <c r="I34" s="5"/>
      <c r="J34" s="5"/>
      <c r="K34" s="5"/>
      <c r="L34" s="5"/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Year 2026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2026-08-11T08:29:15Z</dcterms:created>
  <dcterms:modified xsi:type="dcterms:W3CDTF">2026-08-11T09:01:14Z</dcterms:modified>
</cp:coreProperties>
</file>